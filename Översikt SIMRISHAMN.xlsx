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27430-2024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45474</v>
      </c>
      <c r="E6" s="1" t="n">
        <v>46318</v>
      </c>
      <c r="F6" t="inlineStr">
        <is>
          <t>SKÅNE LÄN</t>
        </is>
      </c>
      <c r="G6" t="inlineStr">
        <is>
          <t>SIMRISHAMN</t>
        </is>
      </c>
      <c r="I6" t="n">
        <v>3.9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Bokoxe
Rostfläck
Spillkråka</t>
        </is>
      </c>
      <c r="W6">
        <f>HYPERLINK("https://klasma.github.io/Logging_1291/artfynd/A 27430-2024 artfynd.xlsx", "A 27430-2024")</f>
        <v/>
      </c>
      <c r="X6">
        <f>HYPERLINK("https://klasma.github.io/Logging_1291/kartor/A 27430-2024 karta.png", "A 27430-2024")</f>
        <v/>
      </c>
      <c r="Y6">
        <f>HYPERLINK("https://klasma.github.io/Logging_1291/kartor_geotiff/A 27430-2024 georefererad karta.tif", "A 27430-2024")</f>
        <v/>
      </c>
      <c r="AA6">
        <f>HYPERLINK("https://klasma.github.io/Logging_1291/klagomål/A 27430-2024 FSC-klagomål.docx", "A 27430-2024")</f>
        <v/>
      </c>
      <c r="AB6">
        <f>HYPERLINK("https://klasma.github.io/Logging_1291/klagomålsmail/A 27430-2024 FSC-klagomål mail.docx", "A 27430-2024")</f>
        <v/>
      </c>
      <c r="AC6">
        <f>HYPERLINK("https://klasma.github.io/Logging_1291/tillsyn/A 27430-2024 tillsynsbegäran.docx", "A 27430-2024")</f>
        <v/>
      </c>
      <c r="AD6">
        <f>HYPERLINK("https://klasma.github.io/Logging_1291/tillsynsmail/A 27430-2024 tillsynsbegäran mail.docx", "A 27430-2024")</f>
        <v/>
      </c>
      <c r="AE6">
        <f>HYPERLINK("https://klasma.github.io/Logging_1291/fåglar/A 27430-2024 prioriterade fågelarter.docx", "A 27430-2024")</f>
        <v/>
      </c>
    </row>
    <row r="7" ht="15" customHeight="1">
      <c r="A7" t="inlineStr">
        <is>
          <t>A 19874-2024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45433</v>
      </c>
      <c r="E7" s="1" t="n">
        <v>46318</v>
      </c>
      <c r="F7" t="inlineStr">
        <is>
          <t>SKÅNE LÄN</t>
        </is>
      </c>
      <c r="G7" t="inlineStr">
        <is>
          <t>SIMRISHAMN</t>
        </is>
      </c>
      <c r="I7" t="n">
        <v>1.6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Grönsiska
Kungsfågel</t>
        </is>
      </c>
      <c r="W7">
        <f>HYPERLINK("https://klasma.github.io/Logging_1291/artfynd/A 19874-2024 artfynd.xlsx", "A 19874-2024")</f>
        <v/>
      </c>
      <c r="X7">
        <f>HYPERLINK("https://klasma.github.io/Logging_1291/kartor/A 19874-2024 karta.png", "A 19874-2024")</f>
        <v/>
      </c>
      <c r="Y7">
        <f>HYPERLINK("https://klasma.github.io/Logging_1291/kartor_geotiff/A 19874-2024 georefererad karta.tif", "A 19874-2024")</f>
        <v/>
      </c>
      <c r="AA7">
        <f>HYPERLINK("https://klasma.github.io/Logging_1291/klagomål/A 19874-2024 FSC-klagomål.docx", "A 19874-2024")</f>
        <v/>
      </c>
      <c r="AB7">
        <f>HYPERLINK("https://klasma.github.io/Logging_1291/klagomålsmail/A 19874-2024 FSC-klagomål mail.docx", "A 19874-2024")</f>
        <v/>
      </c>
      <c r="AC7">
        <f>HYPERLINK("https://klasma.github.io/Logging_1291/tillsyn/A 19874-2024 tillsynsbegäran.docx", "A 19874-2024")</f>
        <v/>
      </c>
      <c r="AD7">
        <f>HYPERLINK("https://klasma.github.io/Logging_1291/tillsynsmail/A 19874-2024 tillsynsbegäran mail.docx", "A 19874-2024")</f>
        <v/>
      </c>
      <c r="AE7">
        <f>HYPERLINK("https://klasma.github.io/Logging_1291/fåglar/A 19874-2024 prioriterade fågelarter.docx", "A 19874-2024")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46318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46318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46318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46318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46318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46318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22194-2023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45069</v>
      </c>
      <c r="E15" s="1" t="n">
        <v>46318</v>
      </c>
      <c r="F15" t="inlineStr">
        <is>
          <t>SKÅNE LÄN</t>
        </is>
      </c>
      <c r="G15" t="inlineStr">
        <is>
          <t>SIMRISHAMN</t>
        </is>
      </c>
      <c r="H15" t="inlineStr">
        <is>
          <t>Övriga Aktiebolag</t>
        </is>
      </c>
      <c r="I15" t="n">
        <v>11.4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Sandödla</t>
        </is>
      </c>
      <c r="W15">
        <f>HYPERLINK("https://klasma.github.io/Logging_1291/artfynd/A 22194-2023 artfynd.xlsx", "A 22194-2023")</f>
        <v/>
      </c>
      <c r="X15">
        <f>HYPERLINK("https://klasma.github.io/Logging_1291/kartor/A 22194-2023 karta.png", "A 22194-2023")</f>
        <v/>
      </c>
      <c r="Y15">
        <f>HYPERLINK("https://klasma.github.io/Logging_1291/kartor_geotiff/A 22194-2023 georefererad karta.tif", "A 22194-2023")</f>
        <v/>
      </c>
      <c r="AA15">
        <f>HYPERLINK("https://klasma.github.io/Logging_1291/klagomål/A 22194-2023 FSC-klagomål.docx", "A 22194-2023")</f>
        <v/>
      </c>
      <c r="AB15">
        <f>HYPERLINK("https://klasma.github.io/Logging_1291/klagomålsmail/A 22194-2023 FSC-klagomål mail.docx", "A 22194-2023")</f>
        <v/>
      </c>
      <c r="AC15">
        <f>HYPERLINK("https://klasma.github.io/Logging_1291/tillsyn/A 22194-2023 tillsynsbegäran.docx", "A 22194-2023")</f>
        <v/>
      </c>
      <c r="AD15">
        <f>HYPERLINK("https://klasma.github.io/Logging_1291/tillsynsmail/A 22194-2023 tillsynsbegäran mail.docx", "A 22194-2023")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46318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16258-2024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45407</v>
      </c>
      <c r="E17" s="1" t="n">
        <v>46318</v>
      </c>
      <c r="F17" t="inlineStr">
        <is>
          <t>SKÅNE LÄN</t>
        </is>
      </c>
      <c r="G17" t="inlineStr">
        <is>
          <t>SIMRISHAMN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16258-2024 artfynd.xlsx", "A 16258-2024")</f>
        <v/>
      </c>
      <c r="X17">
        <f>HYPERLINK("https://klasma.github.io/Logging_1291/kartor/A 16258-2024 karta.png", "A 16258-2024")</f>
        <v/>
      </c>
      <c r="Y17">
        <f>HYPERLINK("https://klasma.github.io/Logging_1291/kartor_geotiff/A 16258-2024 georefererad karta.tif", "A 16258-2024")</f>
        <v/>
      </c>
      <c r="AA17">
        <f>HYPERLINK("https://klasma.github.io/Logging_1291/klagomål/A 16258-2024 FSC-klagomål.docx", "A 16258-2024")</f>
        <v/>
      </c>
      <c r="AB17">
        <f>HYPERLINK("https://klasma.github.io/Logging_1291/klagomålsmail/A 16258-2024 FSC-klagomål mail.docx", "A 16258-2024")</f>
        <v/>
      </c>
      <c r="AC17">
        <f>HYPERLINK("https://klasma.github.io/Logging_1291/tillsyn/A 16258-2024 tillsynsbegäran.docx", "A 16258-2024")</f>
        <v/>
      </c>
      <c r="AD17">
        <f>HYPERLINK("https://klasma.github.io/Logging_1291/tillsynsmail/A 16258-2024 tillsynsbegäran mail.docx", "A 16258-2024")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46318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46318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46318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46318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7082-2024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45343</v>
      </c>
      <c r="E22" s="1" t="n">
        <v>46318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22.7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Småvänderot</t>
        </is>
      </c>
      <c r="W22">
        <f>HYPERLINK("https://klasma.github.io/Logging_1291/artfynd/A 7082-2024 artfynd.xlsx", "A 7082-2024")</f>
        <v/>
      </c>
      <c r="X22">
        <f>HYPERLINK("https://klasma.github.io/Logging_1291/kartor/A 7082-2024 karta.png", "A 7082-2024")</f>
        <v/>
      </c>
      <c r="Y22">
        <f>HYPERLINK("https://klasma.github.io/Logging_1291/kartor_geotiff/A 7082-2024 georefererad karta.tif", "A 7082-2024")</f>
        <v/>
      </c>
      <c r="AA22">
        <f>HYPERLINK("https://klasma.github.io/Logging_1291/klagomål/A 7082-2024 FSC-klagomål.docx", "A 7082-2024")</f>
        <v/>
      </c>
      <c r="AB22">
        <f>HYPERLINK("https://klasma.github.io/Logging_1291/klagomålsmail/A 7082-2024 FSC-klagomål mail.docx", "A 7082-2024")</f>
        <v/>
      </c>
      <c r="AC22">
        <f>HYPERLINK("https://klasma.github.io/Logging_1291/tillsyn/A 7082-2024 tillsynsbegäran.docx", "A 7082-2024")</f>
        <v/>
      </c>
      <c r="AD22">
        <f>HYPERLINK("https://klasma.github.io/Logging_1291/tillsynsmail/A 7082-2024 tillsynsbegäran mail.docx", "A 7082-2024")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46318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46318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46318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46318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45572</v>
      </c>
      <c r="E27" s="1" t="n">
        <v>46318</v>
      </c>
      <c r="F27" t="inlineStr">
        <is>
          <t>SKÅNE LÄN</t>
        </is>
      </c>
      <c r="G27" t="inlineStr">
        <is>
          <t>SIMRISHAMN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46318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42016-2022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46318</v>
      </c>
      <c r="F29" t="inlineStr">
        <is>
          <t>SKÅNE LÄN</t>
        </is>
      </c>
      <c r="G29" t="inlineStr">
        <is>
          <t>SIMRISHAMN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46318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45498</v>
      </c>
      <c r="E31" s="1" t="n">
        <v>46318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45318</v>
      </c>
      <c r="E32" s="1" t="n">
        <v>46318</v>
      </c>
      <c r="F32" t="inlineStr">
        <is>
          <t>SKÅNE LÄN</t>
        </is>
      </c>
      <c r="G32" t="inlineStr">
        <is>
          <t>SIMRISHAMN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44903</v>
      </c>
      <c r="E33" s="1" t="n">
        <v>46318</v>
      </c>
      <c r="F33" t="inlineStr">
        <is>
          <t>SKÅNE LÄN</t>
        </is>
      </c>
      <c r="G33" t="inlineStr">
        <is>
          <t>SIMRISHAMN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45569</v>
      </c>
      <c r="E34" s="1" t="n">
        <v>46318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45392</v>
      </c>
      <c r="E35" s="1" t="n">
        <v>46318</v>
      </c>
      <c r="F35" t="inlineStr">
        <is>
          <t>SKÅNE LÄN</t>
        </is>
      </c>
      <c r="G35" t="inlineStr">
        <is>
          <t>SIMRISHAMN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46318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46318</v>
      </c>
      <c r="F37" t="inlineStr">
        <is>
          <t>SKÅNE LÄN</t>
        </is>
      </c>
      <c r="G37" t="inlineStr">
        <is>
          <t>SIMRISHAMN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42374-2023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45180</v>
      </c>
      <c r="E38" s="1" t="n">
        <v>46318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44978</v>
      </c>
      <c r="E39" s="1" t="n">
        <v>46318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44657</v>
      </c>
      <c r="E40" s="1" t="n">
        <v>46318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7584-2024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46318</v>
      </c>
      <c r="F41" t="inlineStr">
        <is>
          <t>SKÅNE LÄN</t>
        </is>
      </c>
      <c r="G41" t="inlineStr">
        <is>
          <t>SIMRISHAMN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46318</v>
      </c>
      <c r="F42" t="inlineStr">
        <is>
          <t>SKÅNE LÄN</t>
        </is>
      </c>
      <c r="G42" t="inlineStr">
        <is>
          <t>SIMRISHAMN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45652</v>
      </c>
      <c r="E43" s="1" t="n">
        <v>46318</v>
      </c>
      <c r="F43" t="inlineStr">
        <is>
          <t>SKÅNE LÄN</t>
        </is>
      </c>
      <c r="G43" t="inlineStr">
        <is>
          <t>SIMRISHAMN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46318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45318</v>
      </c>
      <c r="E45" s="1" t="n">
        <v>46318</v>
      </c>
      <c r="F45" t="inlineStr">
        <is>
          <t>SKÅNE LÄN</t>
        </is>
      </c>
      <c r="G45" t="inlineStr">
        <is>
          <t>SIMRISHAMN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39238-2023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45162</v>
      </c>
      <c r="E46" s="1" t="n">
        <v>46318</v>
      </c>
      <c r="F46" t="inlineStr">
        <is>
          <t>SKÅNE LÄN</t>
        </is>
      </c>
      <c r="G46" t="inlineStr">
        <is>
          <t>SIMRISHAMN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37189-2025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45875</v>
      </c>
      <c r="E47" s="1" t="n">
        <v>46318</v>
      </c>
      <c r="F47" t="inlineStr">
        <is>
          <t>SKÅNE LÄN</t>
        </is>
      </c>
      <c r="G47" t="inlineStr">
        <is>
          <t>SIMRISHAMN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46318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44720</v>
      </c>
      <c r="E49" s="1" t="n">
        <v>46318</v>
      </c>
      <c r="F49" t="inlineStr">
        <is>
          <t>SKÅNE LÄN</t>
        </is>
      </c>
      <c r="G49" t="inlineStr">
        <is>
          <t>SIMRISHAMN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17102-2025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46318</v>
      </c>
      <c r="F50" t="inlineStr">
        <is>
          <t>SKÅNE LÄN</t>
        </is>
      </c>
      <c r="G50" t="inlineStr">
        <is>
          <t>SIMRISHAMN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28269-2025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46318</v>
      </c>
      <c r="F51" t="inlineStr">
        <is>
          <t>SKÅNE LÄN</t>
        </is>
      </c>
      <c r="G51" t="inlineStr">
        <is>
          <t>SIMRISHAMN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46318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46318</v>
      </c>
      <c r="F53" t="inlineStr">
        <is>
          <t>SKÅNE LÄN</t>
        </is>
      </c>
      <c r="G53" t="inlineStr">
        <is>
          <t>SIMRISHAMN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46318</v>
      </c>
      <c r="F54" t="inlineStr">
        <is>
          <t>SKÅNE LÄN</t>
        </is>
      </c>
      <c r="G54" t="inlineStr">
        <is>
          <t>SIMRISHAMN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46318</v>
      </c>
      <c r="F55" t="inlineStr">
        <is>
          <t>SKÅNE LÄN</t>
        </is>
      </c>
      <c r="G55" t="inlineStr">
        <is>
          <t>SIMRISHAMN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46318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44923</v>
      </c>
      <c r="E57" s="1" t="n">
        <v>46318</v>
      </c>
      <c r="F57" t="inlineStr">
        <is>
          <t>SKÅNE LÄN</t>
        </is>
      </c>
      <c r="G57" t="inlineStr">
        <is>
          <t>SIMRISHAMN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46318</v>
      </c>
      <c r="F58" t="inlineStr">
        <is>
          <t>SKÅNE LÄN</t>
        </is>
      </c>
      <c r="G58" t="inlineStr">
        <is>
          <t>SIMRISHAMN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55504-2025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45971</v>
      </c>
      <c r="E59" s="1" t="n">
        <v>46318</v>
      </c>
      <c r="F59" t="inlineStr">
        <is>
          <t>SKÅNE LÄN</t>
        </is>
      </c>
      <c r="G59" t="inlineStr">
        <is>
          <t>SIMRISHAMN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45334</v>
      </c>
      <c r="E60" s="1" t="n">
        <v>46318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5028-2024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45329</v>
      </c>
      <c r="E61" s="1" t="n">
        <v>46318</v>
      </c>
      <c r="F61" t="inlineStr">
        <is>
          <t>SKÅNE LÄN</t>
        </is>
      </c>
      <c r="G61" t="inlineStr">
        <is>
          <t>SIMRISHAMN</t>
        </is>
      </c>
      <c r="H61" t="inlineStr">
        <is>
          <t>Övriga Aktiebolag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46318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46318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18.4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46318</v>
      </c>
      <c r="F64" t="inlineStr">
        <is>
          <t>SKÅNE LÄN</t>
        </is>
      </c>
      <c r="G64" t="inlineStr">
        <is>
          <t>SIMRISHAMN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45426</v>
      </c>
      <c r="E65" s="1" t="n">
        <v>46318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46318</v>
      </c>
      <c r="F66" t="inlineStr">
        <is>
          <t>SKÅNE LÄN</t>
        </is>
      </c>
      <c r="G66" t="inlineStr">
        <is>
          <t>SIMRISHAMN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45755</v>
      </c>
      <c r="E67" s="1" t="n">
        <v>46318</v>
      </c>
      <c r="F67" t="inlineStr">
        <is>
          <t>SKÅNE LÄN</t>
        </is>
      </c>
      <c r="G67" t="inlineStr">
        <is>
          <t>SIMRISHAMN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46318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46318</v>
      </c>
      <c r="F69" t="inlineStr">
        <is>
          <t>SKÅNE LÄN</t>
        </is>
      </c>
      <c r="G69" t="inlineStr">
        <is>
          <t>SIMRISHAMN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46318</v>
      </c>
      <c r="F70" t="inlineStr">
        <is>
          <t>SKÅNE LÄN</t>
        </is>
      </c>
      <c r="G70" t="inlineStr">
        <is>
          <t>SIMRISHAMN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45318</v>
      </c>
      <c r="E71" s="1" t="n">
        <v>46318</v>
      </c>
      <c r="F71" t="inlineStr">
        <is>
          <t>SKÅNE LÄN</t>
        </is>
      </c>
      <c r="G71" t="inlineStr">
        <is>
          <t>SIMRISHAMN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45162</v>
      </c>
      <c r="E72" s="1" t="n">
        <v>46318</v>
      </c>
      <c r="F72" t="inlineStr">
        <is>
          <t>SKÅNE LÄN</t>
        </is>
      </c>
      <c r="G72" t="inlineStr">
        <is>
          <t>SIMRISHAMN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56820-2024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45628</v>
      </c>
      <c r="E73" s="1" t="n">
        <v>46318</v>
      </c>
      <c r="F73" t="inlineStr">
        <is>
          <t>SKÅNE LÄN</t>
        </is>
      </c>
      <c r="G73" t="inlineStr">
        <is>
          <t>SIMRISHAMN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46318</v>
      </c>
      <c r="F74" t="inlineStr">
        <is>
          <t>SKÅNE LÄN</t>
        </is>
      </c>
      <c r="G74" t="inlineStr">
        <is>
          <t>SIMRISHAMN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46035</v>
      </c>
      <c r="E75" s="1" t="n">
        <v>46318</v>
      </c>
      <c r="F75" t="inlineStr">
        <is>
          <t>SKÅNE LÄN</t>
        </is>
      </c>
      <c r="G75" t="inlineStr">
        <is>
          <t>SIMRISHAMN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46318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46318</v>
      </c>
      <c r="F77" t="inlineStr">
        <is>
          <t>SKÅNE LÄN</t>
        </is>
      </c>
      <c r="G77" t="inlineStr">
        <is>
          <t>SIMRISHAMN</t>
        </is>
      </c>
      <c r="H77" t="inlineStr">
        <is>
          <t>Övriga Aktiebolag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46318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18005-2026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46318</v>
      </c>
      <c r="F79" t="inlineStr">
        <is>
          <t>SKÅNE LÄN</t>
        </is>
      </c>
      <c r="G79" t="inlineStr">
        <is>
          <t>SIMRISHAMN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46318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46318</v>
      </c>
      <c r="F81" t="inlineStr">
        <is>
          <t>SKÅNE LÄN</t>
        </is>
      </c>
      <c r="G81" t="inlineStr">
        <is>
          <t>SIMRISHAMN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44845</v>
      </c>
      <c r="E82" s="1" t="n">
        <v>46318</v>
      </c>
      <c r="F82" t="inlineStr">
        <is>
          <t>SKÅNE LÄN</t>
        </is>
      </c>
      <c r="G82" t="inlineStr">
        <is>
          <t>SIMRISHAMN</t>
        </is>
      </c>
      <c r="I82" t="n">
        <v>14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46318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46318</v>
      </c>
      <c r="F84" t="inlineStr">
        <is>
          <t>SKÅNE LÄN</t>
        </is>
      </c>
      <c r="G84" t="inlineStr">
        <is>
          <t>SIMRISHAMN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44943</v>
      </c>
      <c r="E85" s="1" t="n">
        <v>46318</v>
      </c>
      <c r="F85" t="inlineStr">
        <is>
          <t>SKÅNE LÄN</t>
        </is>
      </c>
      <c r="G85" t="inlineStr">
        <is>
          <t>SIMRISHAMN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46318</v>
      </c>
      <c r="F86" t="inlineStr">
        <is>
          <t>SKÅNE LÄN</t>
        </is>
      </c>
      <c r="G86" t="inlineStr">
        <is>
          <t>SIMRISHAMN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45343</v>
      </c>
      <c r="E87" s="1" t="n">
        <v>46318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46318</v>
      </c>
      <c r="F88" t="inlineStr">
        <is>
          <t>SKÅNE LÄN</t>
        </is>
      </c>
      <c r="G88" t="inlineStr">
        <is>
          <t>SIMRISHAMN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46318</v>
      </c>
      <c r="F89" t="inlineStr">
        <is>
          <t>SKÅNE LÄN</t>
        </is>
      </c>
      <c r="G89" t="inlineStr">
        <is>
          <t>SIMRISHAMN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45317</v>
      </c>
      <c r="E90" s="1" t="n">
        <v>46318</v>
      </c>
      <c r="F90" t="inlineStr">
        <is>
          <t>SKÅNE LÄN</t>
        </is>
      </c>
      <c r="G90" t="inlineStr">
        <is>
          <t>SIMRISHAMN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35899-2026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46266</v>
      </c>
      <c r="E91" s="1" t="n">
        <v>46318</v>
      </c>
      <c r="F91" t="inlineStr">
        <is>
          <t>SKÅNE LÄN</t>
        </is>
      </c>
      <c r="G91" t="inlineStr">
        <is>
          <t>SIMRISHAMN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45392</v>
      </c>
      <c r="E92" s="1" t="n">
        <v>46318</v>
      </c>
      <c r="F92" t="inlineStr">
        <is>
          <t>SKÅNE LÄN</t>
        </is>
      </c>
      <c r="G92" t="inlineStr">
        <is>
          <t>SIMRISHAMN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14106-2024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45392</v>
      </c>
      <c r="E93" s="1" t="n">
        <v>46318</v>
      </c>
      <c r="F93" t="inlineStr">
        <is>
          <t>SKÅNE LÄN</t>
        </is>
      </c>
      <c r="G93" t="inlineStr">
        <is>
          <t>SIMRISHAMN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46318</v>
      </c>
      <c r="F94" t="inlineStr">
        <is>
          <t>SKÅNE LÄN</t>
        </is>
      </c>
      <c r="G94" t="inlineStr">
        <is>
          <t>SIMRISHAMN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46318</v>
      </c>
      <c r="F95" t="inlineStr">
        <is>
          <t>SKÅNE LÄN</t>
        </is>
      </c>
      <c r="G95" t="inlineStr">
        <is>
          <t>SIMRISHAMN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20950-2023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45061</v>
      </c>
      <c r="E96" s="1" t="n">
        <v>46318</v>
      </c>
      <c r="F96" t="inlineStr">
        <is>
          <t>SKÅNE LÄN</t>
        </is>
      </c>
      <c r="G96" t="inlineStr">
        <is>
          <t>SIMRISHAMN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53978-2022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46318</v>
      </c>
      <c r="F97" t="inlineStr">
        <is>
          <t>SKÅNE LÄN</t>
        </is>
      </c>
      <c r="G97" t="inlineStr">
        <is>
          <t>SIMRISHAMN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45555</v>
      </c>
      <c r="E98" s="1" t="n">
        <v>46318</v>
      </c>
      <c r="F98" t="inlineStr">
        <is>
          <t>SKÅNE LÄN</t>
        </is>
      </c>
      <c r="G98" t="inlineStr">
        <is>
          <t>SIMRISHAMN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46318</v>
      </c>
      <c r="F99" t="inlineStr">
        <is>
          <t>SKÅNE LÄN</t>
        </is>
      </c>
      <c r="G99" t="inlineStr">
        <is>
          <t>SIMRISHAMN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46318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46318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2026-10-23T01:59:59Z</dcterms:created>
  <dcterms:modified xmlns:dcterms="http://purl.org/dc/terms/" xmlns:xsi="http://www.w3.org/2001/XMLSchema-instance" xsi:type="dcterms:W3CDTF">2026-10-23T01:59:59Z</dcterms:modified>
</cp:coreProperties>
</file>