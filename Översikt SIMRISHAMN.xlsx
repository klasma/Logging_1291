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46306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46306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46306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46306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22194-2023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46306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11.4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Sandödla</t>
        </is>
      </c>
      <c r="W13">
        <f>HYPERLINK("https://klasma.github.io/Logging_1291/artfynd/A 22194-2023 artfynd.xlsx", "A 22194-2023")</f>
        <v/>
      </c>
      <c r="X13">
        <f>HYPERLINK("https://klasma.github.io/Logging_1291/kartor/A 22194-2023 karta.png", "A 22194-2023")</f>
        <v/>
      </c>
      <c r="Y13">
        <f>HYPERLINK("https://klasma.github.io/Logging_1291/kartor_geotiff/A 22194-2023 georefererad karta.tif", "A 22194-2023")</f>
        <v/>
      </c>
      <c r="AA13">
        <f>HYPERLINK("https://klasma.github.io/Logging_1291/klagomål/A 22194-2023 FSC-klagomål.docx", "A 22194-2023")</f>
        <v/>
      </c>
      <c r="AB13">
        <f>HYPERLINK("https://klasma.github.io/Logging_1291/klagomålsmail/A 22194-2023 FSC-klagomål mail.docx", "A 22194-2023")</f>
        <v/>
      </c>
      <c r="AC13">
        <f>HYPERLINK("https://klasma.github.io/Logging_1291/tillsyn/A 22194-2023 tillsynsbegäran.docx", "A 22194-2023")</f>
        <v/>
      </c>
      <c r="AD13">
        <f>HYPERLINK("https://klasma.github.io/Logging_1291/tillsynsmail/A 22194-2023 tillsynsbegäran mail.docx", "A 22194-2023")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46306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20090-2024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46306</v>
      </c>
      <c r="F15" t="inlineStr">
        <is>
          <t>SKÅNE LÄN</t>
        </is>
      </c>
      <c r="G15" t="inlineStr">
        <is>
          <t>SIMRISHAMN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20090-2024 artfynd.xlsx", "A 20090-2024")</f>
        <v/>
      </c>
      <c r="X15">
        <f>HYPERLINK("https://klasma.github.io/Logging_1291/kartor/A 20090-2024 karta.png", "A 20090-2024")</f>
        <v/>
      </c>
      <c r="Y15">
        <f>HYPERLINK("https://klasma.github.io/Logging_1291/kartor_geotiff/A 20090-2024 georefererad karta.tif", "A 20090-2024")</f>
        <v/>
      </c>
      <c r="AA15">
        <f>HYPERLINK("https://klasma.github.io/Logging_1291/klagomål/A 20090-2024 FSC-klagomål.docx", "A 20090-2024")</f>
        <v/>
      </c>
      <c r="AB15">
        <f>HYPERLINK("https://klasma.github.io/Logging_1291/klagomålsmail/A 20090-2024 FSC-klagomål mail.docx", "A 20090-2024")</f>
        <v/>
      </c>
      <c r="AC15">
        <f>HYPERLINK("https://klasma.github.io/Logging_1291/tillsyn/A 20090-2024 tillsynsbegäran.docx", "A 20090-2024")</f>
        <v/>
      </c>
      <c r="AD15">
        <f>HYPERLINK("https://klasma.github.io/Logging_1291/tillsynsmail/A 20090-2024 tillsynsbegäran mail.docx", "A 20090-2024")</f>
        <v/>
      </c>
    </row>
    <row r="16" ht="15" customHeight="1">
      <c r="A16" t="inlineStr">
        <is>
          <t>A 50134-2024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45600</v>
      </c>
      <c r="E16" s="1" t="n">
        <v>46306</v>
      </c>
      <c r="F16" t="inlineStr">
        <is>
          <t>SKÅNE LÄN</t>
        </is>
      </c>
      <c r="G16" t="inlineStr">
        <is>
          <t>SIMRISHAMN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50134-2024 artfynd.xlsx", "A 50134-2024")</f>
        <v/>
      </c>
      <c r="X16">
        <f>HYPERLINK("https://klasma.github.io/Logging_1291/kartor/A 50134-2024 karta.png", "A 50134-2024")</f>
        <v/>
      </c>
      <c r="Y16">
        <f>HYPERLINK("https://klasma.github.io/Logging_1291/kartor_geotiff/A 50134-2024 georefererad karta.tif", "A 50134-2024")</f>
        <v/>
      </c>
      <c r="AA16">
        <f>HYPERLINK("https://klasma.github.io/Logging_1291/klagomål/A 50134-2024 FSC-klagomål.docx", "A 50134-2024")</f>
        <v/>
      </c>
      <c r="AB16">
        <f>HYPERLINK("https://klasma.github.io/Logging_1291/klagomålsmail/A 50134-2024 FSC-klagomål mail.docx", "A 50134-2024")</f>
        <v/>
      </c>
      <c r="AC16">
        <f>HYPERLINK("https://klasma.github.io/Logging_1291/tillsyn/A 50134-2024 tillsynsbegäran.docx", "A 50134-2024")</f>
        <v/>
      </c>
      <c r="AD16">
        <f>HYPERLINK("https://klasma.github.io/Logging_1291/tillsynsmail/A 50134-2024 tillsynsbegäran mail.docx", "A 50134-2024")</f>
        <v/>
      </c>
    </row>
    <row r="17" ht="15" customHeight="1">
      <c r="A17" t="inlineStr">
        <is>
          <t>A 3401-2024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45318</v>
      </c>
      <c r="E17" s="1" t="n">
        <v>46306</v>
      </c>
      <c r="F17" t="inlineStr">
        <is>
          <t>SKÅNE LÄN</t>
        </is>
      </c>
      <c r="G17" t="inlineStr">
        <is>
          <t>SIMRISHAMN</t>
        </is>
      </c>
      <c r="I17" t="n">
        <v>6.8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HYPERLINK("https://klasma.github.io/Logging_1291/artfynd/A 3401-2024 artfynd.xlsx", "A 3401-2024")</f>
        <v/>
      </c>
      <c r="X17">
        <f>HYPERLINK("https://klasma.github.io/Logging_1291/kartor/A 3401-2024 karta.png", "A 3401-2024")</f>
        <v/>
      </c>
      <c r="Y17">
        <f>HYPERLINK("https://klasma.github.io/Logging_1291/kartor_geotiff/A 3401-2024 georefererad karta.tif", "A 3401-2024")</f>
        <v/>
      </c>
      <c r="AA17">
        <f>HYPERLINK("https://klasma.github.io/Logging_1291/klagomål/A 3401-2024 FSC-klagomål.docx", "A 3401-2024")</f>
        <v/>
      </c>
      <c r="AB17">
        <f>HYPERLINK("https://klasma.github.io/Logging_1291/klagomålsmail/A 3401-2024 FSC-klagomål mail.docx", "A 3401-2024")</f>
        <v/>
      </c>
      <c r="AC17">
        <f>HYPERLINK("https://klasma.github.io/Logging_1291/tillsyn/A 3401-2024 tillsynsbegäran.docx", "A 3401-2024")</f>
        <v/>
      </c>
      <c r="AD17">
        <f>HYPERLINK("https://klasma.github.io/Logging_1291/tillsynsmail/A 3401-2024 tillsynsbegäran mail.docx", "A 3401-2024")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46306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46306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46306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46306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46306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46306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46306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46306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46306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46306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46306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42231-2023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45180</v>
      </c>
      <c r="E29" s="1" t="n">
        <v>46306</v>
      </c>
      <c r="F29" t="inlineStr">
        <is>
          <t>SKÅNE LÄN</t>
        </is>
      </c>
      <c r="G29" t="inlineStr">
        <is>
          <t>SIMRISHAMN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38846-2024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46306</v>
      </c>
      <c r="F30" t="inlineStr">
        <is>
          <t>SKÅNE LÄN</t>
        </is>
      </c>
      <c r="G30" t="inlineStr">
        <is>
          <t>SIMRISHAMN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19435-2024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46306</v>
      </c>
      <c r="F31" t="inlineStr">
        <is>
          <t>SKÅNE LÄN</t>
        </is>
      </c>
      <c r="G31" t="inlineStr">
        <is>
          <t>SIMRISHAMN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45392</v>
      </c>
      <c r="E32" s="1" t="n">
        <v>46306</v>
      </c>
      <c r="F32" t="inlineStr">
        <is>
          <t>SKÅNE LÄN</t>
        </is>
      </c>
      <c r="G32" t="inlineStr">
        <is>
          <t>SIMRISHAMN</t>
        </is>
      </c>
      <c r="I32" t="n">
        <v>5.3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14106-2024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45392</v>
      </c>
      <c r="E33" s="1" t="n">
        <v>46306</v>
      </c>
      <c r="F33" t="inlineStr">
        <is>
          <t>SKÅNE LÄN</t>
        </is>
      </c>
      <c r="G33" t="inlineStr">
        <is>
          <t>SIMRISHAMN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46306</v>
      </c>
      <c r="F34" t="inlineStr">
        <is>
          <t>SKÅNE LÄN</t>
        </is>
      </c>
      <c r="G34" t="inlineStr">
        <is>
          <t>SIMRISHAMN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46306</v>
      </c>
      <c r="F35" t="inlineStr">
        <is>
          <t>SKÅNE LÄN</t>
        </is>
      </c>
      <c r="G35" t="inlineStr">
        <is>
          <t>SIMRISHAMN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45336</v>
      </c>
      <c r="E36" s="1" t="n">
        <v>46306</v>
      </c>
      <c r="F36" t="inlineStr">
        <is>
          <t>SKÅNE LÄN</t>
        </is>
      </c>
      <c r="G36" t="inlineStr">
        <is>
          <t>SIMRISHAMN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45392</v>
      </c>
      <c r="E37" s="1" t="n">
        <v>46306</v>
      </c>
      <c r="F37" t="inlineStr">
        <is>
          <t>SKÅNE LÄN</t>
        </is>
      </c>
      <c r="G37" t="inlineStr">
        <is>
          <t>SIMRISHAMN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45318</v>
      </c>
      <c r="E38" s="1" t="n">
        <v>46306</v>
      </c>
      <c r="F38" t="inlineStr">
        <is>
          <t>SKÅNE LÄN</t>
        </is>
      </c>
      <c r="G38" t="inlineStr">
        <is>
          <t>SIMRISHAMN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45318</v>
      </c>
      <c r="E39" s="1" t="n">
        <v>46306</v>
      </c>
      <c r="F39" t="inlineStr">
        <is>
          <t>SKÅNE LÄN</t>
        </is>
      </c>
      <c r="G39" t="inlineStr">
        <is>
          <t>SIMRISHAMN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46306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46306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46306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18.4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45555</v>
      </c>
      <c r="E43" s="1" t="n">
        <v>46306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44978</v>
      </c>
      <c r="E44" s="1" t="n">
        <v>46306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45498</v>
      </c>
      <c r="E45" s="1" t="n">
        <v>46306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46306</v>
      </c>
      <c r="F46" t="inlineStr">
        <is>
          <t>SKÅNE LÄN</t>
        </is>
      </c>
      <c r="G46" t="inlineStr">
        <is>
          <t>SIMRISHAMN</t>
        </is>
      </c>
      <c r="I46" t="n">
        <v>6.9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46306</v>
      </c>
      <c r="F47" t="inlineStr">
        <is>
          <t>SKÅNE LÄN</t>
        </is>
      </c>
      <c r="G47" t="inlineStr">
        <is>
          <t>SIMRISHAMN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3402-2024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45318</v>
      </c>
      <c r="E48" s="1" t="n">
        <v>46306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45089</v>
      </c>
      <c r="E49" s="1" t="n">
        <v>46306</v>
      </c>
      <c r="F49" t="inlineStr">
        <is>
          <t>SKÅNE LÄN</t>
        </is>
      </c>
      <c r="G49" t="inlineStr">
        <is>
          <t>SIMRISHAMN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46306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45162</v>
      </c>
      <c r="E51" s="1" t="n">
        <v>46306</v>
      </c>
      <c r="F51" t="inlineStr">
        <is>
          <t>SKÅNE LÄN</t>
        </is>
      </c>
      <c r="G51" t="inlineStr">
        <is>
          <t>SIMRISHAMN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46306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46306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45061</v>
      </c>
      <c r="E54" s="1" t="n">
        <v>46306</v>
      </c>
      <c r="F54" t="inlineStr">
        <is>
          <t>SKÅNE LÄN</t>
        </is>
      </c>
      <c r="G54" t="inlineStr">
        <is>
          <t>SIMRISHAMN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45569</v>
      </c>
      <c r="E55" s="1" t="n">
        <v>46306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45334</v>
      </c>
      <c r="E56" s="1" t="n">
        <v>46306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46306</v>
      </c>
      <c r="F57" t="inlineStr">
        <is>
          <t>SKÅNE LÄN</t>
        </is>
      </c>
      <c r="G57" t="inlineStr">
        <is>
          <t>SIMRISHAMN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45162</v>
      </c>
      <c r="E58" s="1" t="n">
        <v>46306</v>
      </c>
      <c r="F58" t="inlineStr">
        <is>
          <t>SKÅNE LÄN</t>
        </is>
      </c>
      <c r="G58" t="inlineStr">
        <is>
          <t>SIMRISHAMN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26471-2023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45092</v>
      </c>
      <c r="E59" s="1" t="n">
        <v>46306</v>
      </c>
      <c r="F59" t="inlineStr">
        <is>
          <t>SKÅNE LÄN</t>
        </is>
      </c>
      <c r="G59" t="inlineStr">
        <is>
          <t>SIMRISHAMN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45628</v>
      </c>
      <c r="E60" s="1" t="n">
        <v>46306</v>
      </c>
      <c r="F60" t="inlineStr">
        <is>
          <t>SKÅNE LÄN</t>
        </is>
      </c>
      <c r="G60" t="inlineStr">
        <is>
          <t>SIMRISHAMN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46306</v>
      </c>
      <c r="F61" t="inlineStr">
        <is>
          <t>SKÅNE LÄN</t>
        </is>
      </c>
      <c r="G61" t="inlineStr">
        <is>
          <t>SIMRISHAMN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46306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46306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46306</v>
      </c>
      <c r="F64" t="inlineStr">
        <is>
          <t>SKÅNE LÄN</t>
        </is>
      </c>
      <c r="G64" t="inlineStr">
        <is>
          <t>SIMRISHAMN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46306</v>
      </c>
      <c r="F65" t="inlineStr">
        <is>
          <t>SKÅNE LÄN</t>
        </is>
      </c>
      <c r="G65" t="inlineStr">
        <is>
          <t>SIMRISHAMN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46306</v>
      </c>
      <c r="F66" t="inlineStr">
        <is>
          <t>SKÅNE LÄN</t>
        </is>
      </c>
      <c r="G66" t="inlineStr">
        <is>
          <t>SIMRISHAMN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45273</v>
      </c>
      <c r="E67" s="1" t="n">
        <v>46306</v>
      </c>
      <c r="F67" t="inlineStr">
        <is>
          <t>SKÅNE LÄN</t>
        </is>
      </c>
      <c r="G67" t="inlineStr">
        <is>
          <t>SIMRISHAMN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55504-2025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45971</v>
      </c>
      <c r="E68" s="1" t="n">
        <v>46306</v>
      </c>
      <c r="F68" t="inlineStr">
        <is>
          <t>SKÅNE LÄN</t>
        </is>
      </c>
      <c r="G68" t="inlineStr">
        <is>
          <t>SIMRISHAMN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45318</v>
      </c>
      <c r="E69" s="1" t="n">
        <v>46306</v>
      </c>
      <c r="F69" t="inlineStr">
        <is>
          <t>SKÅNE LÄN</t>
        </is>
      </c>
      <c r="G69" t="inlineStr">
        <is>
          <t>SIMRISHAMN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6830-2025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45700</v>
      </c>
      <c r="E70" s="1" t="n">
        <v>46306</v>
      </c>
      <c r="F70" t="inlineStr">
        <is>
          <t>SKÅNE LÄN</t>
        </is>
      </c>
      <c r="G70" t="inlineStr">
        <is>
          <t>SIMRISHAMN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46306</v>
      </c>
      <c r="F71" t="inlineStr">
        <is>
          <t>SKÅNE LÄN</t>
        </is>
      </c>
      <c r="G71" t="inlineStr">
        <is>
          <t>SIMRISHAMN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46306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46306</v>
      </c>
      <c r="F73" t="inlineStr">
        <is>
          <t>SKÅNE LÄN</t>
        </is>
      </c>
      <c r="G73" t="inlineStr">
        <is>
          <t>SIMRISHAMN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45740</v>
      </c>
      <c r="E74" s="1" t="n">
        <v>46306</v>
      </c>
      <c r="F74" t="inlineStr">
        <is>
          <t>SKÅNE LÄN</t>
        </is>
      </c>
      <c r="G74" t="inlineStr">
        <is>
          <t>SIMRISHAMN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46306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46306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46306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18682-2023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45043</v>
      </c>
      <c r="E78" s="1" t="n">
        <v>46306</v>
      </c>
      <c r="F78" t="inlineStr">
        <is>
          <t>SKÅNE LÄN</t>
        </is>
      </c>
      <c r="G78" t="inlineStr">
        <is>
          <t>SIMRISHAMN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45652</v>
      </c>
      <c r="E79" s="1" t="n">
        <v>46306</v>
      </c>
      <c r="F79" t="inlineStr">
        <is>
          <t>SKÅNE LÄN</t>
        </is>
      </c>
      <c r="G79" t="inlineStr">
        <is>
          <t>SIMRISHAMN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46306</v>
      </c>
      <c r="F80" t="inlineStr">
        <is>
          <t>SKÅNE LÄN</t>
        </is>
      </c>
      <c r="G80" t="inlineStr">
        <is>
          <t>SIMRISHAMN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46306</v>
      </c>
      <c r="F81" t="inlineStr">
        <is>
          <t>SKÅNE LÄN</t>
        </is>
      </c>
      <c r="G81" t="inlineStr">
        <is>
          <t>SIMRISHAMN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56820-2024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45628</v>
      </c>
      <c r="E82" s="1" t="n">
        <v>46306</v>
      </c>
      <c r="F82" t="inlineStr">
        <is>
          <t>SKÅNE LÄN</t>
        </is>
      </c>
      <c r="G82" t="inlineStr">
        <is>
          <t>SIMRISHAMN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58985-2022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46306</v>
      </c>
      <c r="F83" t="inlineStr">
        <is>
          <t>SKÅNE LÄN</t>
        </is>
      </c>
      <c r="G83" t="inlineStr">
        <is>
          <t>SIMRISHAMN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46306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46306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46306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46306</v>
      </c>
      <c r="F87" t="inlineStr">
        <is>
          <t>SKÅNE LÄN</t>
        </is>
      </c>
      <c r="G87" t="inlineStr">
        <is>
          <t>SIMRISHAMN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46306</v>
      </c>
      <c r="F88" t="inlineStr">
        <is>
          <t>SKÅNE LÄN</t>
        </is>
      </c>
      <c r="G88" t="inlineStr">
        <is>
          <t>SIMRISHAMN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45434</v>
      </c>
      <c r="E89" s="1" t="n">
        <v>46306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45320</v>
      </c>
      <c r="E90" s="1" t="n">
        <v>46306</v>
      </c>
      <c r="F90" t="inlineStr">
        <is>
          <t>SKÅNE LÄN</t>
        </is>
      </c>
      <c r="G90" t="inlineStr">
        <is>
          <t>SIMRISHAMN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44943</v>
      </c>
      <c r="E91" s="1" t="n">
        <v>46306</v>
      </c>
      <c r="F91" t="inlineStr">
        <is>
          <t>SKÅNE LÄN</t>
        </is>
      </c>
      <c r="G91" t="inlineStr">
        <is>
          <t>SIMRISHAMN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45572</v>
      </c>
      <c r="E92" s="1" t="n">
        <v>46306</v>
      </c>
      <c r="F92" t="inlineStr">
        <is>
          <t>SKÅNE LÄN</t>
        </is>
      </c>
      <c r="G92" t="inlineStr">
        <is>
          <t>SIMRISHAMN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46306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46306</v>
      </c>
      <c r="F94" t="inlineStr">
        <is>
          <t>SKÅNE LÄN</t>
        </is>
      </c>
      <c r="G94" t="inlineStr">
        <is>
          <t>SIMRISHAMN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46035</v>
      </c>
      <c r="E95" s="1" t="n">
        <v>46306</v>
      </c>
      <c r="F95" t="inlineStr">
        <is>
          <t>SKÅNE LÄN</t>
        </is>
      </c>
      <c r="G95" t="inlineStr">
        <is>
          <t>SIMRISHAMN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46306</v>
      </c>
      <c r="F96" t="inlineStr">
        <is>
          <t>SKÅNE LÄN</t>
        </is>
      </c>
      <c r="G96" t="inlineStr">
        <is>
          <t>SIMRISHAMN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46306</v>
      </c>
      <c r="F97" t="inlineStr">
        <is>
          <t>SKÅNE LÄN</t>
        </is>
      </c>
      <c r="G97" t="inlineStr">
        <is>
          <t>SIMRISHAMN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46306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46306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46306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46306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2026-10-11T02:04:28Z</dcterms:created>
  <dcterms:modified xmlns:dcterms="http://purl.org/dc/terms/" xmlns:xsi="http://www.w3.org/2001/XMLSchema-instance" xsi:type="dcterms:W3CDTF">2026-10-11T02:04:28Z</dcterms:modified>
</cp:coreProperties>
</file>