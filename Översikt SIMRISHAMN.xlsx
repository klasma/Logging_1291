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46299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46299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46299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46299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46299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46299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46299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46299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46299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46299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46299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46299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46299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Borsttåg</t>
        </is>
      </c>
      <c r="W14">
        <f>HYPERLINK("https://klasma.github.io/Logging_1291/artfynd/A 3401-2024 artfynd.xlsx", "A 3401-2024")</f>
        <v/>
      </c>
      <c r="X14">
        <f>HYPERLINK("https://klasma.github.io/Logging_1291/kartor/A 3401-2024 karta.png", "A 3401-2024")</f>
        <v/>
      </c>
      <c r="Y14">
        <f>HYPERLINK("https://klasma.github.io/Logging_1291/kartor_geotiff/A 3401-2024 georefererad karta.tif", "A 3401-2024")</f>
        <v/>
      </c>
      <c r="AA14">
        <f>HYPERLINK("https://klasma.github.io/Logging_1291/klagomål/A 3401-2024 FSC-klagomål.docx", "A 3401-2024")</f>
        <v/>
      </c>
      <c r="AB14">
        <f>HYPERLINK("https://klasma.github.io/Logging_1291/klagomålsmail/A 3401-2024 FSC-klagomål mail.docx", "A 3401-2024")</f>
        <v/>
      </c>
      <c r="AC14">
        <f>HYPERLINK("https://klasma.github.io/Logging_1291/tillsyn/A 3401-2024 tillsynsbegäran.docx", "A 3401-2024")</f>
        <v/>
      </c>
      <c r="AD14">
        <f>HYPERLINK("https://klasma.github.io/Logging_1291/tillsynsmail/A 3401-2024 tillsynsbegäran mail.docx", "A 3401-2024")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46299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46299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46299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46299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7082-2024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46299</v>
      </c>
      <c r="F19" t="inlineStr">
        <is>
          <t>SKÅNE LÄN</t>
        </is>
      </c>
      <c r="G19" t="inlineStr">
        <is>
          <t>SIMRISHAMN</t>
        </is>
      </c>
      <c r="H19" t="inlineStr">
        <is>
          <t>Övriga Aktiebolag</t>
        </is>
      </c>
      <c r="I19" t="n">
        <v>22.7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Småvänderot</t>
        </is>
      </c>
      <c r="W19">
        <f>HYPERLINK("https://klasma.github.io/Logging_1291/artfynd/A 7082-2024 artfynd.xlsx", "A 7082-2024")</f>
        <v/>
      </c>
      <c r="X19">
        <f>HYPERLINK("https://klasma.github.io/Logging_1291/kartor/A 7082-2024 karta.png", "A 7082-2024")</f>
        <v/>
      </c>
      <c r="Y19">
        <f>HYPERLINK("https://klasma.github.io/Logging_1291/kartor_geotiff/A 7082-2024 georefererad karta.tif", "A 7082-2024")</f>
        <v/>
      </c>
      <c r="AA19">
        <f>HYPERLINK("https://klasma.github.io/Logging_1291/klagomål/A 7082-2024 FSC-klagomål.docx", "A 7082-2024")</f>
        <v/>
      </c>
      <c r="AB19">
        <f>HYPERLINK("https://klasma.github.io/Logging_1291/klagomålsmail/A 7082-2024 FSC-klagomål mail.docx", "A 7082-2024")</f>
        <v/>
      </c>
      <c r="AC19">
        <f>HYPERLINK("https://klasma.github.io/Logging_1291/tillsyn/A 7082-2024 tillsynsbegäran.docx", "A 7082-2024")</f>
        <v/>
      </c>
      <c r="AD19">
        <f>HYPERLINK("https://klasma.github.io/Logging_1291/tillsynsmail/A 7082-2024 tillsynsbegäran mail.docx", "A 7082-2024")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46299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46299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46299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22194-2023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46299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11.4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Sandödla</t>
        </is>
      </c>
      <c r="W23">
        <f>HYPERLINK("https://klasma.github.io/Logging_1291/artfynd/A 22194-2023 artfynd.xlsx", "A 22194-2023")</f>
        <v/>
      </c>
      <c r="X23">
        <f>HYPERLINK("https://klasma.github.io/Logging_1291/kartor/A 22194-2023 karta.png", "A 22194-2023")</f>
        <v/>
      </c>
      <c r="Y23">
        <f>HYPERLINK("https://klasma.github.io/Logging_1291/kartor_geotiff/A 22194-2023 georefererad karta.tif", "A 22194-2023")</f>
        <v/>
      </c>
      <c r="AA23">
        <f>HYPERLINK("https://klasma.github.io/Logging_1291/klagomål/A 22194-2023 FSC-klagomål.docx", "A 22194-2023")</f>
        <v/>
      </c>
      <c r="AB23">
        <f>HYPERLINK("https://klasma.github.io/Logging_1291/klagomålsmail/A 22194-2023 FSC-klagomål mail.docx", "A 22194-2023")</f>
        <v/>
      </c>
      <c r="AC23">
        <f>HYPERLINK("https://klasma.github.io/Logging_1291/tillsyn/A 22194-2023 tillsynsbegäran.docx", "A 22194-2023")</f>
        <v/>
      </c>
      <c r="AD23">
        <f>HYPERLINK("https://klasma.github.io/Logging_1291/tillsynsmail/A 22194-2023 tillsynsbegäran mail.docx", "A 22194-2023")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46299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46299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46299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46299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46299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46299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46299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46299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46299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46299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46299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42374-2023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45180</v>
      </c>
      <c r="E35" s="1" t="n">
        <v>46299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44978</v>
      </c>
      <c r="E36" s="1" t="n">
        <v>46299</v>
      </c>
      <c r="F36" t="inlineStr">
        <is>
          <t>SKÅNE LÄN</t>
        </is>
      </c>
      <c r="G36" t="inlineStr">
        <is>
          <t>SIMRISHAMN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46299</v>
      </c>
      <c r="F37" t="inlineStr">
        <is>
          <t>SKÅNE LÄN</t>
        </is>
      </c>
      <c r="G37" t="inlineStr">
        <is>
          <t>SIMRISHAMN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46299</v>
      </c>
      <c r="F38" t="inlineStr">
        <is>
          <t>SKÅNE LÄN</t>
        </is>
      </c>
      <c r="G38" t="inlineStr">
        <is>
          <t>SIMRISHAMN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45336</v>
      </c>
      <c r="E39" s="1" t="n">
        <v>46299</v>
      </c>
      <c r="F39" t="inlineStr">
        <is>
          <t>SKÅNE LÄN</t>
        </is>
      </c>
      <c r="G39" t="inlineStr">
        <is>
          <t>SIMRISHAMN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14702-2024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46299</v>
      </c>
      <c r="F40" t="inlineStr">
        <is>
          <t>SKÅNE LÄN</t>
        </is>
      </c>
      <c r="G40" t="inlineStr">
        <is>
          <t>SIMRISHAMN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46035</v>
      </c>
      <c r="E41" s="1" t="n">
        <v>46299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46299</v>
      </c>
      <c r="F42" t="inlineStr">
        <is>
          <t>SKÅNE LÄN</t>
        </is>
      </c>
      <c r="G42" t="inlineStr">
        <is>
          <t>SIMRISHAMN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46299</v>
      </c>
      <c r="F43" t="inlineStr">
        <is>
          <t>SKÅNE LÄN</t>
        </is>
      </c>
      <c r="G43" t="inlineStr">
        <is>
          <t>SIMRISHAMN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63456-2023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45273</v>
      </c>
      <c r="E44" s="1" t="n">
        <v>46299</v>
      </c>
      <c r="F44" t="inlineStr">
        <is>
          <t>SKÅNE LÄN</t>
        </is>
      </c>
      <c r="G44" t="inlineStr">
        <is>
          <t>SIMRISHAMN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45946-2022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44845</v>
      </c>
      <c r="E45" s="1" t="n">
        <v>46299</v>
      </c>
      <c r="F45" t="inlineStr">
        <is>
          <t>SKÅNE LÄN</t>
        </is>
      </c>
      <c r="G45" t="inlineStr">
        <is>
          <t>SIMRISHAMN</t>
        </is>
      </c>
      <c r="I45" t="n">
        <v>14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19141-2025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46299</v>
      </c>
      <c r="F46" t="inlineStr">
        <is>
          <t>SKÅNE LÄN</t>
        </is>
      </c>
      <c r="G46" t="inlineStr">
        <is>
          <t>SIMRISHAMN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55504-2025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46299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46299</v>
      </c>
      <c r="F48" t="inlineStr">
        <is>
          <t>SKÅNE LÄN</t>
        </is>
      </c>
      <c r="G48" t="inlineStr">
        <is>
          <t>SIMRISHAMN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46299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44943</v>
      </c>
      <c r="E50" s="1" t="n">
        <v>46299</v>
      </c>
      <c r="F50" t="inlineStr">
        <is>
          <t>SKÅNE LÄN</t>
        </is>
      </c>
      <c r="G50" t="inlineStr">
        <is>
          <t>SIMRISHAMN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46299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46299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10.6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46299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46299</v>
      </c>
      <c r="F54" t="inlineStr">
        <is>
          <t>SKÅNE LÄN</t>
        </is>
      </c>
      <c r="G54" t="inlineStr">
        <is>
          <t>SIMRISHAMN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46299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45700</v>
      </c>
      <c r="E56" s="1" t="n">
        <v>46299</v>
      </c>
      <c r="F56" t="inlineStr">
        <is>
          <t>SKÅNE LÄN</t>
        </is>
      </c>
      <c r="G56" t="inlineStr">
        <is>
          <t>SIMRISHAMN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45547</v>
      </c>
      <c r="E57" s="1" t="n">
        <v>46299</v>
      </c>
      <c r="F57" t="inlineStr">
        <is>
          <t>SKÅNE LÄN</t>
        </is>
      </c>
      <c r="G57" t="inlineStr">
        <is>
          <t>SIMRISHAMN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46299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46299</v>
      </c>
      <c r="F59" t="inlineStr">
        <is>
          <t>SKÅNE LÄN</t>
        </is>
      </c>
      <c r="G59" t="inlineStr">
        <is>
          <t>SIMRISHAMN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46299</v>
      </c>
      <c r="F60" t="inlineStr">
        <is>
          <t>SKÅNE LÄN</t>
        </is>
      </c>
      <c r="G60" t="inlineStr">
        <is>
          <t>SIMRISHAMN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45875</v>
      </c>
      <c r="E61" s="1" t="n">
        <v>46299</v>
      </c>
      <c r="F61" t="inlineStr">
        <is>
          <t>SKÅNE LÄN</t>
        </is>
      </c>
      <c r="G61" t="inlineStr">
        <is>
          <t>SIMRISHAMN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45875</v>
      </c>
      <c r="E62" s="1" t="n">
        <v>46299</v>
      </c>
      <c r="F62" t="inlineStr">
        <is>
          <t>SKÅNE LÄN</t>
        </is>
      </c>
      <c r="G62" t="inlineStr">
        <is>
          <t>SIMRISHAMN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46006</v>
      </c>
      <c r="E63" s="1" t="n">
        <v>46299</v>
      </c>
      <c r="F63" t="inlineStr">
        <is>
          <t>SKÅNE LÄN</t>
        </is>
      </c>
      <c r="G63" t="inlineStr">
        <is>
          <t>SIMRISHAMN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46299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45318</v>
      </c>
      <c r="E65" s="1" t="n">
        <v>46299</v>
      </c>
      <c r="F65" t="inlineStr">
        <is>
          <t>SKÅNE LÄN</t>
        </is>
      </c>
      <c r="G65" t="inlineStr">
        <is>
          <t>SIMRISHAMN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20950-2023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45061</v>
      </c>
      <c r="E66" s="1" t="n">
        <v>46299</v>
      </c>
      <c r="F66" t="inlineStr">
        <is>
          <t>SKÅNE LÄN</t>
        </is>
      </c>
      <c r="G66" t="inlineStr">
        <is>
          <t>SIMRISHAMN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46299</v>
      </c>
      <c r="F67" t="inlineStr">
        <is>
          <t>SKÅNE LÄN</t>
        </is>
      </c>
      <c r="G67" t="inlineStr">
        <is>
          <t>SIMRISHAMN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46299</v>
      </c>
      <c r="F68" t="inlineStr">
        <is>
          <t>SKÅNE LÄN</t>
        </is>
      </c>
      <c r="G68" t="inlineStr">
        <is>
          <t>SIMRISHAMN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45429</v>
      </c>
      <c r="E69" s="1" t="n">
        <v>46299</v>
      </c>
      <c r="F69" t="inlineStr">
        <is>
          <t>SKÅNE LÄN</t>
        </is>
      </c>
      <c r="G69" t="inlineStr">
        <is>
          <t>SIMRISHAMN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18005-2026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46125</v>
      </c>
      <c r="E70" s="1" t="n">
        <v>46299</v>
      </c>
      <c r="F70" t="inlineStr">
        <is>
          <t>SKÅNE LÄN</t>
        </is>
      </c>
      <c r="G70" t="inlineStr">
        <is>
          <t>SIMRISHAMN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45498</v>
      </c>
      <c r="E71" s="1" t="n">
        <v>46299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46299</v>
      </c>
      <c r="F72" t="inlineStr">
        <is>
          <t>SKÅNE LÄN</t>
        </is>
      </c>
      <c r="G72" t="inlineStr">
        <is>
          <t>SIMRISHAMN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45569</v>
      </c>
      <c r="E73" s="1" t="n">
        <v>46299</v>
      </c>
      <c r="F73" t="inlineStr">
        <is>
          <t>SKÅNE LÄN</t>
        </is>
      </c>
      <c r="G73" t="inlineStr">
        <is>
          <t>SIMRISHAMN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45392</v>
      </c>
      <c r="E74" s="1" t="n">
        <v>46299</v>
      </c>
      <c r="F74" t="inlineStr">
        <is>
          <t>SKÅNE LÄN</t>
        </is>
      </c>
      <c r="G74" t="inlineStr">
        <is>
          <t>SIMRISHAMN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44657</v>
      </c>
      <c r="E75" s="1" t="n">
        <v>46299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45348</v>
      </c>
      <c r="E76" s="1" t="n">
        <v>46299</v>
      </c>
      <c r="F76" t="inlineStr">
        <is>
          <t>SKÅNE LÄN</t>
        </is>
      </c>
      <c r="G76" t="inlineStr">
        <is>
          <t>SIMRISHAMN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45043</v>
      </c>
      <c r="E77" s="1" t="n">
        <v>46299</v>
      </c>
      <c r="F77" t="inlineStr">
        <is>
          <t>SKÅNE LÄN</t>
        </is>
      </c>
      <c r="G77" t="inlineStr">
        <is>
          <t>SIMRISHAMN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46299</v>
      </c>
      <c r="F78" t="inlineStr">
        <is>
          <t>SKÅNE LÄN</t>
        </is>
      </c>
      <c r="G78" t="inlineStr">
        <is>
          <t>SIMRISHAMN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46299</v>
      </c>
      <c r="F79" t="inlineStr">
        <is>
          <t>SKÅNE LÄN</t>
        </is>
      </c>
      <c r="G79" t="inlineStr">
        <is>
          <t>SIMRISHAMN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44720</v>
      </c>
      <c r="E80" s="1" t="n">
        <v>46299</v>
      </c>
      <c r="F80" t="inlineStr">
        <is>
          <t>SKÅNE LÄN</t>
        </is>
      </c>
      <c r="G80" t="inlineStr">
        <is>
          <t>SIMRISHAMN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45755</v>
      </c>
      <c r="E81" s="1" t="n">
        <v>46299</v>
      </c>
      <c r="F81" t="inlineStr">
        <is>
          <t>SKÅNE LÄN</t>
        </is>
      </c>
      <c r="G81" t="inlineStr">
        <is>
          <t>SIMRISHAMN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46266</v>
      </c>
      <c r="E82" s="1" t="n">
        <v>46299</v>
      </c>
      <c r="F82" t="inlineStr">
        <is>
          <t>SKÅNE LÄN</t>
        </is>
      </c>
      <c r="G82" t="inlineStr">
        <is>
          <t>SIMRISHAMN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35692-2024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46299</v>
      </c>
      <c r="F83" t="inlineStr">
        <is>
          <t>SKÅNE LÄN</t>
        </is>
      </c>
      <c r="G83" t="inlineStr">
        <is>
          <t>SIMRISHAMN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46299</v>
      </c>
      <c r="F84" t="inlineStr">
        <is>
          <t>SKÅNE LÄN</t>
        </is>
      </c>
      <c r="G84" t="inlineStr">
        <is>
          <t>SIMRISHAMN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44923</v>
      </c>
      <c r="E85" s="1" t="n">
        <v>46299</v>
      </c>
      <c r="F85" t="inlineStr">
        <is>
          <t>SKÅNE LÄN</t>
        </is>
      </c>
      <c r="G85" t="inlineStr">
        <is>
          <t>SIMRISHAMN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46299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46299</v>
      </c>
      <c r="F87" t="inlineStr">
        <is>
          <t>SKÅNE LÄN</t>
        </is>
      </c>
      <c r="G87" t="inlineStr">
        <is>
          <t>SIMRISHAMN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46299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46299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18.4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45089</v>
      </c>
      <c r="E90" s="1" t="n">
        <v>46299</v>
      </c>
      <c r="F90" t="inlineStr">
        <is>
          <t>SKÅNE LÄN</t>
        </is>
      </c>
      <c r="G90" t="inlineStr">
        <is>
          <t>SIMRISHAMN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46299</v>
      </c>
      <c r="F91" t="inlineStr">
        <is>
          <t>SKÅNE LÄN</t>
        </is>
      </c>
      <c r="G91" t="inlineStr">
        <is>
          <t>SIMRISHAMN</t>
        </is>
      </c>
      <c r="H91" t="inlineStr">
        <is>
          <t>Övriga Aktiebolag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46299</v>
      </c>
      <c r="F92" t="inlineStr">
        <is>
          <t>SKÅNE LÄN</t>
        </is>
      </c>
      <c r="G92" t="inlineStr">
        <is>
          <t>SIMRISHAMN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46299</v>
      </c>
      <c r="F93" t="inlineStr">
        <is>
          <t>SKÅNE LÄN</t>
        </is>
      </c>
      <c r="G93" t="inlineStr">
        <is>
          <t>SIMRISHAMN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26471-2023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46299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46299</v>
      </c>
      <c r="F95" t="inlineStr">
        <is>
          <t>SKÅNE LÄN</t>
        </is>
      </c>
      <c r="G95" t="inlineStr">
        <is>
          <t>SIMRISHAMN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46299</v>
      </c>
      <c r="F96" t="inlineStr">
        <is>
          <t>SKÅNE LÄN</t>
        </is>
      </c>
      <c r="G96" t="inlineStr">
        <is>
          <t>SIMRISHAMN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46299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46299</v>
      </c>
      <c r="F98" t="inlineStr">
        <is>
          <t>SKÅNE LÄN</t>
        </is>
      </c>
      <c r="G98" t="inlineStr">
        <is>
          <t>SIMRISHAMN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45204</v>
      </c>
      <c r="E99" s="1" t="n">
        <v>46299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46299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46299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2026-10-04T01:56:56Z</dcterms:created>
  <dcterms:modified xmlns:dcterms="http://purl.org/dc/terms/" xmlns:xsi="http://www.w3.org/2001/XMLSchema-instance" xsi:type="dcterms:W3CDTF">2026-10-04T01:56:56Z</dcterms:modified>
</cp:coreProperties>
</file>