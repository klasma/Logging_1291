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46320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46320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46320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46320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46320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46320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951-2024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45301</v>
      </c>
      <c r="E8" s="1" t="n">
        <v>46320</v>
      </c>
      <c r="F8" t="inlineStr">
        <is>
          <t>SKÅNE LÄN</t>
        </is>
      </c>
      <c r="G8" t="inlineStr">
        <is>
          <t>SIMRISHAMN</t>
        </is>
      </c>
      <c r="H8" t="inlineStr">
        <is>
          <t>Övriga Aktiebolag</t>
        </is>
      </c>
      <c r="I8" t="n">
        <v>28.1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Bredbrämad bastardsvärmare
Dvärgpipistrell</t>
        </is>
      </c>
      <c r="W8">
        <f>HYPERLINK("https://klasma.github.io/Logging_1291/artfynd/A 951-2024 artfynd.xlsx", "A 951-2024")</f>
        <v/>
      </c>
      <c r="X8">
        <f>HYPERLINK("https://klasma.github.io/Logging_1291/kartor/A 951-2024 karta.png", "A 951-2024")</f>
        <v/>
      </c>
      <c r="Y8">
        <f>HYPERLINK("https://klasma.github.io/Logging_1291/kartor_geotiff/A 951-2024 georefererad karta.tif", "A 951-2024")</f>
        <v/>
      </c>
      <c r="AA8">
        <f>HYPERLINK("https://klasma.github.io/Logging_1291/klagomål/A 951-2024 FSC-klagomål.docx", "A 951-2024")</f>
        <v/>
      </c>
      <c r="AB8">
        <f>HYPERLINK("https://klasma.github.io/Logging_1291/klagomålsmail/A 951-2024 FSC-klagomål mail.docx", "A 951-2024")</f>
        <v/>
      </c>
      <c r="AC8">
        <f>HYPERLINK("https://klasma.github.io/Logging_1291/tillsyn/A 951-2024 tillsynsbegäran.docx", "A 951-2024")</f>
        <v/>
      </c>
      <c r="AD8">
        <f>HYPERLINK("https://klasma.github.io/Logging_1291/tillsynsmail/A 951-2024 tillsynsbegäran mail.docx", "A 951-2024")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46320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46320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46320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45802-2022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44844</v>
      </c>
      <c r="E12" s="1" t="n">
        <v>46320</v>
      </c>
      <c r="F12" t="inlineStr">
        <is>
          <t>SKÅNE LÄN</t>
        </is>
      </c>
      <c r="G12" t="inlineStr">
        <is>
          <t>SIMRISHAMN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Hartsticka</t>
        </is>
      </c>
      <c r="W12">
        <f>HYPERLINK("https://klasma.github.io/Logging_1291/artfynd/A 45802-2022 artfynd.xlsx", "A 45802-2022")</f>
        <v/>
      </c>
      <c r="X12">
        <f>HYPERLINK("https://klasma.github.io/Logging_1291/kartor/A 45802-2022 karta.png", "A 45802-2022")</f>
        <v/>
      </c>
      <c r="Y12">
        <f>HYPERLINK("https://klasma.github.io/Logging_1291/kartor_geotiff/A 45802-2022 georefererad karta.tif", "A 45802-2022")</f>
        <v/>
      </c>
      <c r="AA12">
        <f>HYPERLINK("https://klasma.github.io/Logging_1291/klagomål/A 45802-2022 FSC-klagomål.docx", "A 45802-2022")</f>
        <v/>
      </c>
      <c r="AB12">
        <f>HYPERLINK("https://klasma.github.io/Logging_1291/klagomålsmail/A 45802-2022 FSC-klagomål mail.docx", "A 45802-2022")</f>
        <v/>
      </c>
      <c r="AC12">
        <f>HYPERLINK("https://klasma.github.io/Logging_1291/tillsyn/A 45802-2022 tillsynsbegäran.docx", "A 45802-2022")</f>
        <v/>
      </c>
      <c r="AD12">
        <f>HYPERLINK("https://klasma.github.io/Logging_1291/tillsynsmail/A 45802-2022 tillsynsbegäran mail.docx", "A 45802-2022")</f>
        <v/>
      </c>
    </row>
    <row r="13" ht="15" customHeight="1">
      <c r="A13" t="inlineStr">
        <is>
          <t>A 26510-2026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46320</v>
      </c>
      <c r="F13" t="inlineStr">
        <is>
          <t>SKÅNE LÄN</t>
        </is>
      </c>
      <c r="G13" t="inlineStr">
        <is>
          <t>SIMRISHAMN</t>
        </is>
      </c>
      <c r="I13" t="n">
        <v>6.2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HYPERLINK("https://klasma.github.io/Logging_1291/artfynd/A 26510-2026 artfynd.xlsx", "A 26510-2026")</f>
        <v/>
      </c>
      <c r="X13">
        <f>HYPERLINK("https://klasma.github.io/Logging_1291/kartor/A 26510-2026 karta.png", "A 26510-2026")</f>
        <v/>
      </c>
      <c r="Y13">
        <f>HYPERLINK("https://klasma.github.io/Logging_1291/kartor_geotiff/A 26510-2026 georefererad karta.tif", "A 26510-2026")</f>
        <v/>
      </c>
      <c r="AA13">
        <f>HYPERLINK("https://klasma.github.io/Logging_1291/klagomål/A 26510-2026 FSC-klagomål.docx", "A 26510-2026")</f>
        <v/>
      </c>
      <c r="AB13">
        <f>HYPERLINK("https://klasma.github.io/Logging_1291/klagomålsmail/A 26510-2026 FSC-klagomål mail.docx", "A 26510-2026")</f>
        <v/>
      </c>
      <c r="AC13">
        <f>HYPERLINK("https://klasma.github.io/Logging_1291/tillsyn/A 26510-2026 tillsynsbegäran.docx", "A 26510-2026")</f>
        <v/>
      </c>
      <c r="AD13">
        <f>HYPERLINK("https://klasma.github.io/Logging_1291/tillsynsmail/A 26510-2026 tillsynsbegäran mail.docx", "A 26510-2026")</f>
        <v/>
      </c>
    </row>
    <row r="14" ht="15" customHeight="1">
      <c r="A14" t="inlineStr">
        <is>
          <t>A 22194-2023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46320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11.4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Sandödla</t>
        </is>
      </c>
      <c r="W14">
        <f>HYPERLINK("https://klasma.github.io/Logging_1291/artfynd/A 22194-2023 artfynd.xlsx", "A 22194-2023")</f>
        <v/>
      </c>
      <c r="X14">
        <f>HYPERLINK("https://klasma.github.io/Logging_1291/kartor/A 22194-2023 karta.png", "A 22194-2023")</f>
        <v/>
      </c>
      <c r="Y14">
        <f>HYPERLINK("https://klasma.github.io/Logging_1291/kartor_geotiff/A 22194-2023 georefererad karta.tif", "A 22194-2023")</f>
        <v/>
      </c>
      <c r="AA14">
        <f>HYPERLINK("https://klasma.github.io/Logging_1291/klagomål/A 22194-2023 FSC-klagomål.docx", "A 22194-2023")</f>
        <v/>
      </c>
      <c r="AB14">
        <f>HYPERLINK("https://klasma.github.io/Logging_1291/klagomålsmail/A 22194-2023 FSC-klagomål mail.docx", "A 22194-2023")</f>
        <v/>
      </c>
      <c r="AC14">
        <f>HYPERLINK("https://klasma.github.io/Logging_1291/tillsyn/A 22194-2023 tillsynsbegäran.docx", "A 22194-2023")</f>
        <v/>
      </c>
      <c r="AD14">
        <f>HYPERLINK("https://klasma.github.io/Logging_1291/tillsynsmail/A 22194-2023 tillsynsbegäran mail.docx", "A 22194-2023")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46320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16258-2024 artfynd.xlsx", "A 16258-2024")</f>
        <v/>
      </c>
      <c r="X15">
        <f>HYPERLINK("https://klasma.github.io/Logging_1291/kartor/A 16258-2024 karta.png", "A 16258-2024")</f>
        <v/>
      </c>
      <c r="Y15">
        <f>HYPERLINK("https://klasma.github.io/Logging_1291/kartor_geotiff/A 16258-2024 georefererad karta.tif", "A 16258-2024")</f>
        <v/>
      </c>
      <c r="AA15">
        <f>HYPERLINK("https://klasma.github.io/Logging_1291/klagomål/A 16258-2024 FSC-klagomål.docx", "A 16258-2024")</f>
        <v/>
      </c>
      <c r="AB15">
        <f>HYPERLINK("https://klasma.github.io/Logging_1291/klagomålsmail/A 16258-2024 FSC-klagomål mail.docx", "A 16258-2024")</f>
        <v/>
      </c>
      <c r="AC15">
        <f>HYPERLINK("https://klasma.github.io/Logging_1291/tillsyn/A 16258-2024 tillsynsbegäran.docx", "A 16258-2024")</f>
        <v/>
      </c>
      <c r="AD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45318</v>
      </c>
      <c r="E16" s="1" t="n">
        <v>46320</v>
      </c>
      <c r="F16" t="inlineStr">
        <is>
          <t>SKÅNE LÄN</t>
        </is>
      </c>
      <c r="G16" t="inlineStr">
        <is>
          <t>SIMRISHAMN</t>
        </is>
      </c>
      <c r="I16" t="n">
        <v>6.8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HYPERLINK("https://klasma.github.io/Logging_1291/artfynd/A 3401-2024 artfynd.xlsx", "A 3401-2024")</f>
        <v/>
      </c>
      <c r="X16">
        <f>HYPERLINK("https://klasma.github.io/Logging_1291/kartor/A 3401-2024 karta.png", "A 3401-2024")</f>
        <v/>
      </c>
      <c r="Y16">
        <f>HYPERLINK("https://klasma.github.io/Logging_1291/kartor_geotiff/A 3401-2024 georefererad karta.tif", "A 3401-2024")</f>
        <v/>
      </c>
      <c r="AA16">
        <f>HYPERLINK("https://klasma.github.io/Logging_1291/klagomål/A 3401-2024 FSC-klagomål.docx", "A 3401-2024")</f>
        <v/>
      </c>
      <c r="AB16">
        <f>HYPERLINK("https://klasma.github.io/Logging_1291/klagomålsmail/A 3401-2024 FSC-klagomål mail.docx", "A 3401-2024")</f>
        <v/>
      </c>
      <c r="AC16">
        <f>HYPERLINK("https://klasma.github.io/Logging_1291/tillsyn/A 3401-2024 tillsynsbegäran.docx", "A 3401-2024")</f>
        <v/>
      </c>
      <c r="AD16">
        <f>HYPERLINK("https://klasma.github.io/Logging_1291/tillsynsmail/A 3401-2024 tillsynsbegäran mail.docx", "A 3401-2024")</f>
        <v/>
      </c>
    </row>
    <row r="17" ht="15" customHeight="1">
      <c r="A17" t="inlineStr">
        <is>
          <t>A 34703-2026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46258</v>
      </c>
      <c r="E17" s="1" t="n">
        <v>46320</v>
      </c>
      <c r="F17" t="inlineStr">
        <is>
          <t>SKÅNE LÄN</t>
        </is>
      </c>
      <c r="G17" t="inlineStr">
        <is>
          <t>SIMRISHAMN</t>
        </is>
      </c>
      <c r="I17" t="n">
        <v>1.4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Gulsparv</t>
        </is>
      </c>
      <c r="W17">
        <f>HYPERLINK("https://klasma.github.io/Logging_1291/artfynd/A 34703-2026 artfynd.xlsx", "A 34703-2026")</f>
        <v/>
      </c>
      <c r="X17">
        <f>HYPERLINK("https://klasma.github.io/Logging_1291/kartor/A 34703-2026 karta.png", "A 34703-2026")</f>
        <v/>
      </c>
      <c r="Y17">
        <f>HYPERLINK("https://klasma.github.io/Logging_1291/kartor_geotiff/A 34703-2026 georefererad karta.tif", "A 34703-2026")</f>
        <v/>
      </c>
      <c r="AA17">
        <f>HYPERLINK("https://klasma.github.io/Logging_1291/klagomål/A 34703-2026 FSC-klagomål.docx", "A 34703-2026")</f>
        <v/>
      </c>
      <c r="AB17">
        <f>HYPERLINK("https://klasma.github.io/Logging_1291/klagomålsmail/A 34703-2026 FSC-klagomål mail.docx", "A 34703-2026")</f>
        <v/>
      </c>
      <c r="AC17">
        <f>HYPERLINK("https://klasma.github.io/Logging_1291/tillsyn/A 34703-2026 tillsynsbegäran.docx", "A 34703-2026")</f>
        <v/>
      </c>
      <c r="AD17">
        <f>HYPERLINK("https://klasma.github.io/Logging_1291/tillsynsmail/A 34703-2026 tillsynsbegäran mail.docx", "A 34703-2026")</f>
        <v/>
      </c>
      <c r="AE17">
        <f>HYPERLINK("https://klasma.github.io/Logging_1291/fåglar/A 34703-2026 prioriterade fågelarter.docx", "A 34703-2026")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46320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46320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46320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7082-2024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46320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22.7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Småvänderot</t>
        </is>
      </c>
      <c r="W21">
        <f>HYPERLINK("https://klasma.github.io/Logging_1291/artfynd/A 7082-2024 artfynd.xlsx", "A 7082-2024")</f>
        <v/>
      </c>
      <c r="X21">
        <f>HYPERLINK("https://klasma.github.io/Logging_1291/kartor/A 7082-2024 karta.png", "A 7082-2024")</f>
        <v/>
      </c>
      <c r="Y21">
        <f>HYPERLINK("https://klasma.github.io/Logging_1291/kartor_geotiff/A 7082-2024 georefererad karta.tif", "A 7082-2024")</f>
        <v/>
      </c>
      <c r="AA21">
        <f>HYPERLINK("https://klasma.github.io/Logging_1291/klagomål/A 7082-2024 FSC-klagomål.docx", "A 7082-2024")</f>
        <v/>
      </c>
      <c r="AB21">
        <f>HYPERLINK("https://klasma.github.io/Logging_1291/klagomålsmail/A 7082-2024 FSC-klagomål mail.docx", "A 7082-2024")</f>
        <v/>
      </c>
      <c r="AC21">
        <f>HYPERLINK("https://klasma.github.io/Logging_1291/tillsyn/A 7082-2024 tillsynsbegäran.docx", "A 7082-2024")</f>
        <v/>
      </c>
      <c r="AD21">
        <f>HYPERLINK("https://klasma.github.io/Logging_1291/tillsynsmail/A 7082-2024 tillsynsbegäran mail.docx", "A 7082-2024")</f>
        <v/>
      </c>
    </row>
    <row r="22" ht="15" customHeight="1">
      <c r="A22" t="inlineStr">
        <is>
          <t>A 20090-2024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46320</v>
      </c>
      <c r="F22" t="inlineStr">
        <is>
          <t>SKÅNE LÄN</t>
        </is>
      </c>
      <c r="G22" t="inlineStr">
        <is>
          <t>SIMRISHAMN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20090-2024 artfynd.xlsx", "A 20090-2024")</f>
        <v/>
      </c>
      <c r="X22">
        <f>HYPERLINK("https://klasma.github.io/Logging_1291/kartor/A 20090-2024 karta.png", "A 20090-2024")</f>
        <v/>
      </c>
      <c r="Y22">
        <f>HYPERLINK("https://klasma.github.io/Logging_1291/kartor_geotiff/A 20090-2024 georefererad karta.tif", "A 20090-2024")</f>
        <v/>
      </c>
      <c r="AA22">
        <f>HYPERLINK("https://klasma.github.io/Logging_1291/klagomål/A 20090-2024 FSC-klagomål.docx", "A 20090-2024")</f>
        <v/>
      </c>
      <c r="AB22">
        <f>HYPERLINK("https://klasma.github.io/Logging_1291/klagomålsmail/A 20090-2024 FSC-klagomål mail.docx", "A 20090-2024")</f>
        <v/>
      </c>
      <c r="AC22">
        <f>HYPERLINK("https://klasma.github.io/Logging_1291/tillsyn/A 20090-2024 tillsynsbegäran.docx", "A 20090-2024")</f>
        <v/>
      </c>
      <c r="AD22">
        <f>HYPERLINK("https://klasma.github.io/Logging_1291/tillsynsmail/A 20090-2024 tillsynsbegäran mail.docx", "A 20090-2024")</f>
        <v/>
      </c>
    </row>
    <row r="23" ht="15" customHeight="1">
      <c r="A23" t="inlineStr">
        <is>
          <t>A 50134-2024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46320</v>
      </c>
      <c r="F23" t="inlineStr">
        <is>
          <t>SKÅNE LÄN</t>
        </is>
      </c>
      <c r="G23" t="inlineStr">
        <is>
          <t>SIMRISHAMN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50134-2024 artfynd.xlsx", "A 50134-2024")</f>
        <v/>
      </c>
      <c r="X23">
        <f>HYPERLINK("https://klasma.github.io/Logging_1291/kartor/A 50134-2024 karta.png", "A 50134-2024")</f>
        <v/>
      </c>
      <c r="Y23">
        <f>HYPERLINK("https://klasma.github.io/Logging_1291/kartor_geotiff/A 50134-2024 georefererad karta.tif", "A 50134-2024")</f>
        <v/>
      </c>
      <c r="AA23">
        <f>HYPERLINK("https://klasma.github.io/Logging_1291/klagomål/A 50134-2024 FSC-klagomål.docx", "A 50134-2024")</f>
        <v/>
      </c>
      <c r="AB23">
        <f>HYPERLINK("https://klasma.github.io/Logging_1291/klagomålsmail/A 50134-2024 FSC-klagomål mail.docx", "A 50134-2024")</f>
        <v/>
      </c>
      <c r="AC23">
        <f>HYPERLINK("https://klasma.github.io/Logging_1291/tillsyn/A 50134-2024 tillsynsbegäran.docx", "A 50134-2024")</f>
        <v/>
      </c>
      <c r="AD23">
        <f>HYPERLINK("https://klasma.github.io/Logging_1291/tillsynsmail/A 50134-2024 tillsynsbegäran mail.docx", "A 50134-2024")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46320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46320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46320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46320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46320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44876</v>
      </c>
      <c r="E29" s="1" t="n">
        <v>46320</v>
      </c>
      <c r="F29" t="inlineStr">
        <is>
          <t>SKÅNE LÄN</t>
        </is>
      </c>
      <c r="G29" t="inlineStr">
        <is>
          <t>SIMRISHAMN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20096-2024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46320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45320</v>
      </c>
      <c r="E31" s="1" t="n">
        <v>46320</v>
      </c>
      <c r="F31" t="inlineStr">
        <is>
          <t>SKÅNE LÄN</t>
        </is>
      </c>
      <c r="G31" t="inlineStr">
        <is>
          <t>SIMRISHAMN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46320</v>
      </c>
      <c r="F32" t="inlineStr">
        <is>
          <t>SKÅNE LÄN</t>
        </is>
      </c>
      <c r="G32" t="inlineStr">
        <is>
          <t>SIMRISHAMN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46320</v>
      </c>
      <c r="F33" t="inlineStr">
        <is>
          <t>SKÅNE LÄN</t>
        </is>
      </c>
      <c r="G33" t="inlineStr">
        <is>
          <t>SIMRISHAMN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45875</v>
      </c>
      <c r="E34" s="1" t="n">
        <v>46320</v>
      </c>
      <c r="F34" t="inlineStr">
        <is>
          <t>SKÅNE LÄN</t>
        </is>
      </c>
      <c r="G34" t="inlineStr">
        <is>
          <t>SIMRISHAMN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43851-2024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45572</v>
      </c>
      <c r="E35" s="1" t="n">
        <v>46320</v>
      </c>
      <c r="F35" t="inlineStr">
        <is>
          <t>SKÅNE LÄN</t>
        </is>
      </c>
      <c r="G35" t="inlineStr">
        <is>
          <t>SIMRISHAMN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46320</v>
      </c>
      <c r="F36" t="inlineStr">
        <is>
          <t>SKÅNE LÄN</t>
        </is>
      </c>
      <c r="G36" t="inlineStr">
        <is>
          <t>SIMRISHAMN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44845</v>
      </c>
      <c r="E37" s="1" t="n">
        <v>46320</v>
      </c>
      <c r="F37" t="inlineStr">
        <is>
          <t>SKÅNE LÄN</t>
        </is>
      </c>
      <c r="G37" t="inlineStr">
        <is>
          <t>SIMRISHAMN</t>
        </is>
      </c>
      <c r="I37" t="n">
        <v>14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17110-2025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45755</v>
      </c>
      <c r="E38" s="1" t="n">
        <v>46320</v>
      </c>
      <c r="F38" t="inlineStr">
        <is>
          <t>SKÅNE LÄN</t>
        </is>
      </c>
      <c r="G38" t="inlineStr">
        <is>
          <t>SIMRISHAMN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46320</v>
      </c>
      <c r="F39" t="inlineStr">
        <is>
          <t>SKÅNE LÄN</t>
        </is>
      </c>
      <c r="G39" t="inlineStr">
        <is>
          <t>SIMRISHAMN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46320</v>
      </c>
      <c r="F40" t="inlineStr">
        <is>
          <t>SKÅNE LÄN</t>
        </is>
      </c>
      <c r="G40" t="inlineStr">
        <is>
          <t>SIMRISHAMN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46320</v>
      </c>
      <c r="F41" t="inlineStr">
        <is>
          <t>SKÅNE LÄN</t>
        </is>
      </c>
      <c r="G41" t="inlineStr">
        <is>
          <t>SIMRISHAMN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46320</v>
      </c>
      <c r="F42" t="inlineStr">
        <is>
          <t>SKÅNE LÄN</t>
        </is>
      </c>
      <c r="G42" t="inlineStr">
        <is>
          <t>SIMRISHAMN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18005-2026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46320</v>
      </c>
      <c r="F43" t="inlineStr">
        <is>
          <t>SKÅNE LÄN</t>
        </is>
      </c>
      <c r="G43" t="inlineStr">
        <is>
          <t>SIMRISHAMN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55504-2025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46320</v>
      </c>
      <c r="F44" t="inlineStr">
        <is>
          <t>SKÅNE LÄN</t>
        </is>
      </c>
      <c r="G44" t="inlineStr">
        <is>
          <t>SIMRISHAMN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46320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46320</v>
      </c>
      <c r="F46" t="inlineStr">
        <is>
          <t>SKÅNE LÄN</t>
        </is>
      </c>
      <c r="G46" t="inlineStr">
        <is>
          <t>SIMRISHAMN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45993</v>
      </c>
      <c r="E47" s="1" t="n">
        <v>46320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46320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46320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46035</v>
      </c>
      <c r="E50" s="1" t="n">
        <v>46320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46320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46320</v>
      </c>
      <c r="F52" t="inlineStr">
        <is>
          <t>SKÅNE LÄN</t>
        </is>
      </c>
      <c r="G52" t="inlineStr">
        <is>
          <t>SIMRISHAMN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45700</v>
      </c>
      <c r="E53" s="1" t="n">
        <v>46320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45875</v>
      </c>
      <c r="E54" s="1" t="n">
        <v>46320</v>
      </c>
      <c r="F54" t="inlineStr">
        <is>
          <t>SKÅNE LÄN</t>
        </is>
      </c>
      <c r="G54" t="inlineStr">
        <is>
          <t>SIMRISHAMN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8721-2023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44978</v>
      </c>
      <c r="E55" s="1" t="n">
        <v>46320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45498</v>
      </c>
      <c r="E56" s="1" t="n">
        <v>46320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46320</v>
      </c>
      <c r="F57" t="inlineStr">
        <is>
          <t>SKÅNE LÄN</t>
        </is>
      </c>
      <c r="G57" t="inlineStr">
        <is>
          <t>SIMRISHAMN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46320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46320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35899-2026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46320</v>
      </c>
      <c r="F60" t="inlineStr">
        <is>
          <t>SKÅNE LÄN</t>
        </is>
      </c>
      <c r="G60" t="inlineStr">
        <is>
          <t>SIMRISHAMN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45343</v>
      </c>
      <c r="E61" s="1" t="n">
        <v>46320</v>
      </c>
      <c r="F61" t="inlineStr">
        <is>
          <t>SKÅNE LÄN</t>
        </is>
      </c>
      <c r="G61" t="inlineStr">
        <is>
          <t>SIMRISHAMN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46320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46320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46320</v>
      </c>
      <c r="F64" t="inlineStr">
        <is>
          <t>SKÅNE LÄN</t>
        </is>
      </c>
      <c r="G64" t="inlineStr">
        <is>
          <t>SIMRISHAMN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46320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46320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45043</v>
      </c>
      <c r="E67" s="1" t="n">
        <v>46320</v>
      </c>
      <c r="F67" t="inlineStr">
        <is>
          <t>SKÅNE LÄN</t>
        </is>
      </c>
      <c r="G67" t="inlineStr">
        <is>
          <t>SIMRISHAMN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46320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45547</v>
      </c>
      <c r="E69" s="1" t="n">
        <v>46320</v>
      </c>
      <c r="F69" t="inlineStr">
        <is>
          <t>SKÅNE LÄN</t>
        </is>
      </c>
      <c r="G69" t="inlineStr">
        <is>
          <t>SIMRISHAMN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46320</v>
      </c>
      <c r="F70" t="inlineStr">
        <is>
          <t>SKÅNE LÄN</t>
        </is>
      </c>
      <c r="G70" t="inlineStr">
        <is>
          <t>SIMRISHAMN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46320</v>
      </c>
      <c r="F71" t="inlineStr">
        <is>
          <t>SKÅNE LÄN</t>
        </is>
      </c>
      <c r="G71" t="inlineStr">
        <is>
          <t>SIMRISHAMN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46320</v>
      </c>
      <c r="F72" t="inlineStr">
        <is>
          <t>SKÅNE LÄN</t>
        </is>
      </c>
      <c r="G72" t="inlineStr">
        <is>
          <t>SIMRISHAMN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46320</v>
      </c>
      <c r="F73" t="inlineStr">
        <is>
          <t>SKÅNE LÄN</t>
        </is>
      </c>
      <c r="G73" t="inlineStr">
        <is>
          <t>SIMRISHAMN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46320</v>
      </c>
      <c r="F74" t="inlineStr">
        <is>
          <t>SKÅNE LÄN</t>
        </is>
      </c>
      <c r="G74" t="inlineStr">
        <is>
          <t>SIMRISHAMN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46320</v>
      </c>
      <c r="F75" t="inlineStr">
        <is>
          <t>SKÅNE LÄN</t>
        </is>
      </c>
      <c r="G75" t="inlineStr">
        <is>
          <t>SIMRISHAMN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46320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46320</v>
      </c>
      <c r="F77" t="inlineStr">
        <is>
          <t>SKÅNE LÄN</t>
        </is>
      </c>
      <c r="G77" t="inlineStr">
        <is>
          <t>SIMRISHAMN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46320</v>
      </c>
      <c r="F78" t="inlineStr">
        <is>
          <t>SKÅNE LÄN</t>
        </is>
      </c>
      <c r="G78" t="inlineStr">
        <is>
          <t>SIMRISHAMN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46320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46320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46320</v>
      </c>
      <c r="F81" t="inlineStr">
        <is>
          <t>SKÅNE LÄN</t>
        </is>
      </c>
      <c r="G81" t="inlineStr">
        <is>
          <t>SIMRISHAMN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45569</v>
      </c>
      <c r="E82" s="1" t="n">
        <v>46320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46320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46320</v>
      </c>
      <c r="F84" t="inlineStr">
        <is>
          <t>SKÅNE LÄN</t>
        </is>
      </c>
      <c r="G84" t="inlineStr">
        <is>
          <t>SIMRISHAMN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45092</v>
      </c>
      <c r="E85" s="1" t="n">
        <v>46320</v>
      </c>
      <c r="F85" t="inlineStr">
        <is>
          <t>SKÅNE LÄN</t>
        </is>
      </c>
      <c r="G85" t="inlineStr">
        <is>
          <t>SIMRISHAMN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46320</v>
      </c>
      <c r="F86" t="inlineStr">
        <is>
          <t>SKÅNE LÄN</t>
        </is>
      </c>
      <c r="G86" t="inlineStr">
        <is>
          <t>SIMRISHAMN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46320</v>
      </c>
      <c r="F87" t="inlineStr">
        <is>
          <t>SKÅNE LÄN</t>
        </is>
      </c>
      <c r="G87" t="inlineStr">
        <is>
          <t>SIMRISHAMN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23287-2022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44720</v>
      </c>
      <c r="E88" s="1" t="n">
        <v>46320</v>
      </c>
      <c r="F88" t="inlineStr">
        <is>
          <t>SKÅNE LÄN</t>
        </is>
      </c>
      <c r="G88" t="inlineStr">
        <is>
          <t>SIMRISHAMN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45318</v>
      </c>
      <c r="E89" s="1" t="n">
        <v>46320</v>
      </c>
      <c r="F89" t="inlineStr">
        <is>
          <t>SKÅNE LÄN</t>
        </is>
      </c>
      <c r="G89" t="inlineStr">
        <is>
          <t>SIMRISHAMN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46320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46320</v>
      </c>
      <c r="F91" t="inlineStr">
        <is>
          <t>SKÅNE LÄN</t>
        </is>
      </c>
      <c r="G91" t="inlineStr">
        <is>
          <t>SIMRISHAMN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46320</v>
      </c>
      <c r="F92" t="inlineStr">
        <is>
          <t>SKÅNE LÄN</t>
        </is>
      </c>
      <c r="G92" t="inlineStr">
        <is>
          <t>SIMRISHAMN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46320</v>
      </c>
      <c r="F93" t="inlineStr">
        <is>
          <t>SKÅNE LÄN</t>
        </is>
      </c>
      <c r="G93" t="inlineStr">
        <is>
          <t>SIMRISHAMN</t>
        </is>
      </c>
      <c r="H93" t="inlineStr">
        <is>
          <t>Övriga Aktiebolag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45320</v>
      </c>
      <c r="E94" s="1" t="n">
        <v>46320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45652</v>
      </c>
      <c r="E95" s="1" t="n">
        <v>46320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45318</v>
      </c>
      <c r="E96" s="1" t="n">
        <v>46320</v>
      </c>
      <c r="F96" t="inlineStr">
        <is>
          <t>SKÅNE LÄN</t>
        </is>
      </c>
      <c r="G96" t="inlineStr">
        <is>
          <t>SIMRISHAMN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46320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46320</v>
      </c>
      <c r="F98" t="inlineStr">
        <is>
          <t>SKÅNE LÄN</t>
        </is>
      </c>
      <c r="G98" t="inlineStr">
        <is>
          <t>SIMRISHAMN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46320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46320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46320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2026-10-25T02:05:10Z</dcterms:created>
  <dcterms:modified xmlns:dcterms="http://purl.org/dc/terms/" xmlns:xsi="http://www.w3.org/2001/XMLSchema-instance" xsi:type="dcterms:W3CDTF">2026-10-25T02:05:10Z</dcterms:modified>
</cp:coreProperties>
</file>