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46103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2644-2026</t>
        </is>
      </c>
      <c r="B7" s="1" t="n">
        <v>46037.62291666667</v>
      </c>
      <c r="C7" s="1" t="n">
        <v>46103</v>
      </c>
      <c r="D7" t="inlineStr">
        <is>
          <t>SKÅNE LÄN</t>
        </is>
      </c>
      <c r="E7" t="inlineStr">
        <is>
          <t>SIMRISHAMN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Flikbålmossa</t>
        </is>
      </c>
      <c r="S7">
        <f>HYPERLINK("https://klasma.github.io/Logging_1291/artfynd/A 2644-2026 artfynd.xlsx", "A 2644-2026")</f>
        <v/>
      </c>
      <c r="T7">
        <f>HYPERLINK("https://klasma.github.io/Logging_1291/kartor/A 2644-2026 karta.png", "A 2644-2026")</f>
        <v/>
      </c>
      <c r="V7">
        <f>HYPERLINK("https://klasma.github.io/Logging_1291/klagomål/A 2644-2026 FSC-klagomål.docx", "A 2644-2026")</f>
        <v/>
      </c>
      <c r="W7">
        <f>HYPERLINK("https://klasma.github.io/Logging_1291/klagomålsmail/A 2644-2026 FSC-klagomål mail.docx", "A 2644-2026")</f>
        <v/>
      </c>
      <c r="X7">
        <f>HYPERLINK("https://klasma.github.io/Logging_1291/tillsyn/A 2644-2026 tillsynsbegäran.docx", "A 2644-2026")</f>
        <v/>
      </c>
      <c r="Y7">
        <f>HYPERLINK("https://klasma.github.io/Logging_1291/tillsynsmail/A 2644-2026 tillsynsbegäran mail.docx", "A 2644-2026")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46103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46103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46103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46103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46103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46103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46103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46103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46103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46103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46103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46103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46103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46103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46103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46103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55504-2025</t>
        </is>
      </c>
      <c r="B26" s="1" t="n">
        <v>45971.59123842593</v>
      </c>
      <c r="C26" s="1" t="n">
        <v>46103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12000-2025</t>
        </is>
      </c>
      <c r="B27" s="1" t="n">
        <v>45728.61288194444</v>
      </c>
      <c r="C27" s="1" t="n">
        <v>46103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46103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46103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61876-2024</t>
        </is>
      </c>
      <c r="B30" s="1" t="n">
        <v>45652.38005787037</v>
      </c>
      <c r="C30" s="1" t="n">
        <v>46103</v>
      </c>
      <c r="D30" t="inlineStr">
        <is>
          <t>SKÅNE LÄN</t>
        </is>
      </c>
      <c r="E30" t="inlineStr">
        <is>
          <t>SIMRISHAMN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23052-2025</t>
        </is>
      </c>
      <c r="B31" s="1" t="n">
        <v>45790.71023148148</v>
      </c>
      <c r="C31" s="1" t="n">
        <v>46103</v>
      </c>
      <c r="D31" t="inlineStr">
        <is>
          <t>SKÅNE LÄN</t>
        </is>
      </c>
      <c r="E31" t="inlineStr">
        <is>
          <t>SIMRISHAMN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46103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46103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6006-2024</t>
        </is>
      </c>
      <c r="B34" s="1" t="n">
        <v>45336</v>
      </c>
      <c r="C34" s="1" t="n">
        <v>46103</v>
      </c>
      <c r="D34" t="inlineStr">
        <is>
          <t>SKÅNE LÄN</t>
        </is>
      </c>
      <c r="E34" t="inlineStr">
        <is>
          <t>SIMRISHAMN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46103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60059-2025</t>
        </is>
      </c>
      <c r="B36" s="1" t="n">
        <v>45993.65428240741</v>
      </c>
      <c r="C36" s="1" t="n">
        <v>46103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62316-2025</t>
        </is>
      </c>
      <c r="B37" s="1" t="n">
        <v>46006.69094907407</v>
      </c>
      <c r="C37" s="1" t="n">
        <v>46103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14702-2024</t>
        </is>
      </c>
      <c r="B38" s="1" t="n">
        <v>45397.50576388889</v>
      </c>
      <c r="C38" s="1" t="n">
        <v>46103</v>
      </c>
      <c r="D38" t="inlineStr">
        <is>
          <t>SKÅNE LÄN</t>
        </is>
      </c>
      <c r="E38" t="inlineStr">
        <is>
          <t>SIMRISHAMN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62357-2025</t>
        </is>
      </c>
      <c r="B39" s="1" t="n">
        <v>46007</v>
      </c>
      <c r="C39" s="1" t="n">
        <v>46103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19439-2024</t>
        </is>
      </c>
      <c r="B40" s="1" t="n">
        <v>45429</v>
      </c>
      <c r="C40" s="1" t="n">
        <v>46103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16258-2024</t>
        </is>
      </c>
      <c r="B41" s="1" t="n">
        <v>45407</v>
      </c>
      <c r="C41" s="1" t="n">
        <v>46103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46103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46103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46103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46103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46103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19137-2025</t>
        </is>
      </c>
      <c r="B47" s="1" t="n">
        <v>45769</v>
      </c>
      <c r="C47" s="1" t="n">
        <v>46103</v>
      </c>
      <c r="D47" t="inlineStr">
        <is>
          <t>SKÅNE LÄN</t>
        </is>
      </c>
      <c r="E47" t="inlineStr">
        <is>
          <t>SIMRISHAMN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19141-2025</t>
        </is>
      </c>
      <c r="B48" s="1" t="n">
        <v>45769</v>
      </c>
      <c r="C48" s="1" t="n">
        <v>46103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3392-2024</t>
        </is>
      </c>
      <c r="B49" s="1" t="n">
        <v>45318</v>
      </c>
      <c r="C49" s="1" t="n">
        <v>46103</v>
      </c>
      <c r="D49" t="inlineStr">
        <is>
          <t>SKÅNE LÄN</t>
        </is>
      </c>
      <c r="E49" t="inlineStr">
        <is>
          <t>SIMRISHAMN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28269-2025</t>
        </is>
      </c>
      <c r="B50" s="1" t="n">
        <v>45818</v>
      </c>
      <c r="C50" s="1" t="n">
        <v>46103</v>
      </c>
      <c r="D50" t="inlineStr">
        <is>
          <t>SKÅNE LÄN</t>
        </is>
      </c>
      <c r="E50" t="inlineStr">
        <is>
          <t>SIMRISHAMN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46103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19693-2025</t>
        </is>
      </c>
      <c r="B52" s="1" t="n">
        <v>45771.25997685185</v>
      </c>
      <c r="C52" s="1" t="n">
        <v>46103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2554-2023</t>
        </is>
      </c>
      <c r="B53" s="1" t="n">
        <v>44943.67172453704</v>
      </c>
      <c r="C53" s="1" t="n">
        <v>46103</v>
      </c>
      <c r="D53" t="inlineStr">
        <is>
          <t>SKÅNE LÄN</t>
        </is>
      </c>
      <c r="E53" t="inlineStr">
        <is>
          <t>SIMRISHAMN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42231-2023</t>
        </is>
      </c>
      <c r="B54" s="1" t="n">
        <v>45180.31387731482</v>
      </c>
      <c r="C54" s="1" t="n">
        <v>46103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7083-2024</t>
        </is>
      </c>
      <c r="B55" s="1" t="n">
        <v>45343</v>
      </c>
      <c r="C55" s="1" t="n">
        <v>46103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27426-2024</t>
        </is>
      </c>
      <c r="B56" s="1" t="n">
        <v>45474.39143518519</v>
      </c>
      <c r="C56" s="1" t="n">
        <v>46103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46103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1910-2026</t>
        </is>
      </c>
      <c r="B58" s="1" t="n">
        <v>46035</v>
      </c>
      <c r="C58" s="1" t="n">
        <v>46103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46103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46103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30775-2025</t>
        </is>
      </c>
      <c r="B61" s="1" t="n">
        <v>45831.6150462963</v>
      </c>
      <c r="C61" s="1" t="n">
        <v>46103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32488-2025</t>
        </is>
      </c>
      <c r="B62" s="1" t="n">
        <v>45838</v>
      </c>
      <c r="C62" s="1" t="n">
        <v>46103</v>
      </c>
      <c r="D62" t="inlineStr">
        <is>
          <t>SKÅNE LÄN</t>
        </is>
      </c>
      <c r="E62" t="inlineStr">
        <is>
          <t>SIMRISHAMN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14104-2024</t>
        </is>
      </c>
      <c r="B63" s="1" t="n">
        <v>45392.61707175926</v>
      </c>
      <c r="C63" s="1" t="n">
        <v>46103</v>
      </c>
      <c r="D63" t="inlineStr">
        <is>
          <t>SKÅNE LÄN</t>
        </is>
      </c>
      <c r="E63" t="inlineStr">
        <is>
          <t>SIMRISHAMN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14106-2024</t>
        </is>
      </c>
      <c r="B64" s="1" t="n">
        <v>45392</v>
      </c>
      <c r="C64" s="1" t="n">
        <v>46103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3393-2024</t>
        </is>
      </c>
      <c r="B65" s="1" t="n">
        <v>45318</v>
      </c>
      <c r="C65" s="1" t="n">
        <v>46103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3395-2024</t>
        </is>
      </c>
      <c r="B66" s="1" t="n">
        <v>45318</v>
      </c>
      <c r="C66" s="1" t="n">
        <v>46103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46103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53978-2022</t>
        </is>
      </c>
      <c r="B68" s="1" t="n">
        <v>44876</v>
      </c>
      <c r="C68" s="1" t="n">
        <v>46103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40584-2024</t>
        </is>
      </c>
      <c r="B69" s="1" t="n">
        <v>45555.74299768519</v>
      </c>
      <c r="C69" s="1" t="n">
        <v>46103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6830-2025</t>
        </is>
      </c>
      <c r="B70" s="1" t="n">
        <v>45700</v>
      </c>
      <c r="C70" s="1" t="n">
        <v>46103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46103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46103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37189-2025</t>
        </is>
      </c>
      <c r="B73" s="1" t="n">
        <v>45875</v>
      </c>
      <c r="C73" s="1" t="n">
        <v>46103</v>
      </c>
      <c r="D73" t="inlineStr">
        <is>
          <t>SKÅNE LÄN</t>
        </is>
      </c>
      <c r="E73" t="inlineStr">
        <is>
          <t>SIMRISHAMN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37052-2025</t>
        </is>
      </c>
      <c r="B74" s="1" t="n">
        <v>45875</v>
      </c>
      <c r="C74" s="1" t="n">
        <v>46103</v>
      </c>
      <c r="D74" t="inlineStr">
        <is>
          <t>SKÅNE LÄN</t>
        </is>
      </c>
      <c r="E74" t="inlineStr">
        <is>
          <t>SIMRISHAMN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46103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46103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46103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46103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14994-2022</t>
        </is>
      </c>
      <c r="B79" s="1" t="n">
        <v>44657.53449074074</v>
      </c>
      <c r="C79" s="1" t="n">
        <v>46103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7584-2024</t>
        </is>
      </c>
      <c r="B80" s="1" t="n">
        <v>45348</v>
      </c>
      <c r="C80" s="1" t="n">
        <v>46103</v>
      </c>
      <c r="D80" t="inlineStr">
        <is>
          <t>SKÅNE LÄN</t>
        </is>
      </c>
      <c r="E80" t="inlineStr">
        <is>
          <t>SIMRISHAMN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18682-2023</t>
        </is>
      </c>
      <c r="B81" s="1" t="n">
        <v>45043.60021990741</v>
      </c>
      <c r="C81" s="1" t="n">
        <v>46103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22194-2023</t>
        </is>
      </c>
      <c r="B82" s="1" t="n">
        <v>45069</v>
      </c>
      <c r="C82" s="1" t="n">
        <v>46103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3404-2024</t>
        </is>
      </c>
      <c r="B83" s="1" t="n">
        <v>45318</v>
      </c>
      <c r="C83" s="1" t="n">
        <v>46103</v>
      </c>
      <c r="D83" t="inlineStr">
        <is>
          <t>SKÅNE LÄN</t>
        </is>
      </c>
      <c r="E83" t="inlineStr">
        <is>
          <t>SIMRISHAMN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39238-2023</t>
        </is>
      </c>
      <c r="B84" s="1" t="n">
        <v>45162</v>
      </c>
      <c r="C84" s="1" t="n">
        <v>46103</v>
      </c>
      <c r="D84" t="inlineStr">
        <is>
          <t>SKÅNE LÄN</t>
        </is>
      </c>
      <c r="E84" t="inlineStr">
        <is>
          <t>SIMRISHAMN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7716-2024</t>
        </is>
      </c>
      <c r="B85" s="1" t="n">
        <v>45349</v>
      </c>
      <c r="C85" s="1" t="n">
        <v>46103</v>
      </c>
      <c r="D85" t="inlineStr">
        <is>
          <t>SKÅNE LÄN</t>
        </is>
      </c>
      <c r="E85" t="inlineStr">
        <is>
          <t>SIMRISHAMN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23287-2022</t>
        </is>
      </c>
      <c r="B86" s="1" t="n">
        <v>44720</v>
      </c>
      <c r="C86" s="1" t="n">
        <v>46103</v>
      </c>
      <c r="D86" t="inlineStr">
        <is>
          <t>SKÅNE LÄN</t>
        </is>
      </c>
      <c r="E86" t="inlineStr">
        <is>
          <t>SIMRISHAMN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17102-2025</t>
        </is>
      </c>
      <c r="B87" s="1" t="n">
        <v>45755</v>
      </c>
      <c r="C87" s="1" t="n">
        <v>46103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46103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46103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62413-2022</t>
        </is>
      </c>
      <c r="B90" s="1" t="n">
        <v>44923</v>
      </c>
      <c r="C90" s="1" t="n">
        <v>46103</v>
      </c>
      <c r="D90" t="inlineStr">
        <is>
          <t>SKÅNE LÄN</t>
        </is>
      </c>
      <c r="E90" t="inlineStr">
        <is>
          <t>SIMRISHAMN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46103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46103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46103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46103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46103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25475-2023</t>
        </is>
      </c>
      <c r="B96" s="1" t="n">
        <v>45089</v>
      </c>
      <c r="C96" s="1" t="n">
        <v>46103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18856-2024</t>
        </is>
      </c>
      <c r="B97" s="1" t="n">
        <v>45426</v>
      </c>
      <c r="C97" s="1" t="n">
        <v>46103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15039-2024</t>
        </is>
      </c>
      <c r="B98" s="1" t="n">
        <v>45399</v>
      </c>
      <c r="C98" s="1" t="n">
        <v>46103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17110-2025</t>
        </is>
      </c>
      <c r="B99" s="1" t="n">
        <v>45755</v>
      </c>
      <c r="C99" s="1" t="n">
        <v>46103</v>
      </c>
      <c r="D99" t="inlineStr">
        <is>
          <t>SKÅNE LÄN</t>
        </is>
      </c>
      <c r="E99" t="inlineStr">
        <is>
          <t>SIMRISHAMN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26471-2023</t>
        </is>
      </c>
      <c r="B100" s="1" t="n">
        <v>45092</v>
      </c>
      <c r="C100" s="1" t="n">
        <v>46103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3402-2024</t>
        </is>
      </c>
      <c r="B101" s="1" t="n">
        <v>45318</v>
      </c>
      <c r="C101" s="1" t="n">
        <v>46103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39015-2023</t>
        </is>
      </c>
      <c r="B102" s="1" t="n">
        <v>45162</v>
      </c>
      <c r="C102" s="1" t="n">
        <v>46103</v>
      </c>
      <c r="D102" t="inlineStr">
        <is>
          <t>SKÅNE LÄN</t>
        </is>
      </c>
      <c r="E102" t="inlineStr">
        <is>
          <t>SIMRISHAMN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46103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56764-2024</t>
        </is>
      </c>
      <c r="B104" s="1" t="n">
        <v>45628</v>
      </c>
      <c r="C104" s="1" t="n">
        <v>46103</v>
      </c>
      <c r="D104" t="inlineStr">
        <is>
          <t>SKÅNE LÄN</t>
        </is>
      </c>
      <c r="E104" t="inlineStr">
        <is>
          <t>SIMRISHAMN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2026-03-22T11:33:37Z</dcterms:created>
  <dcterms:modified xmlns:dcterms="http://purl.org/dc/terms/" xmlns:xsi="http://www.w3.org/2001/XMLSchema-instance" xsi:type="dcterms:W3CDTF">2026-03-22T11:33:37Z</dcterms:modified>
</cp:coreProperties>
</file>