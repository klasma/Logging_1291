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46277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46277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46277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46277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46277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46277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46277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46277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46277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46277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46277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46277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46277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46277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20090-2024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46277</v>
      </c>
      <c r="F16" t="inlineStr">
        <is>
          <t>SKÅNE LÄN</t>
        </is>
      </c>
      <c r="G16" t="inlineStr">
        <is>
          <t>SIMRISHAMN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20090-2024 artfynd.xlsx", "A 20090-2024")</f>
        <v/>
      </c>
      <c r="X16">
        <f>HYPERLINK("https://klasma.github.io/Logging_1291/kartor/A 20090-2024 karta.png", "A 20090-2024")</f>
        <v/>
      </c>
      <c r="Y16">
        <f>HYPERLINK("https://klasma.github.io/Logging_1291/kartor_geotiff/A 20090-2024 georefererad karta.tif", "A 20090-2024")</f>
        <v/>
      </c>
      <c r="AA16">
        <f>HYPERLINK("https://klasma.github.io/Logging_1291/klagomål/A 20090-2024 FSC-klagomål.docx", "A 20090-2024")</f>
        <v/>
      </c>
      <c r="AB16">
        <f>HYPERLINK("https://klasma.github.io/Logging_1291/klagomålsmail/A 20090-2024 FSC-klagomål mail.docx", "A 20090-2024")</f>
        <v/>
      </c>
      <c r="AC16">
        <f>HYPERLINK("https://klasma.github.io/Logging_1291/tillsyn/A 20090-2024 tillsynsbegäran.docx", "A 20090-2024")</f>
        <v/>
      </c>
      <c r="AD16">
        <f>HYPERLINK("https://klasma.github.io/Logging_1291/tillsynsmail/A 20090-2024 tillsynsbegäran mail.docx", "A 20090-2024")</f>
        <v/>
      </c>
    </row>
    <row r="17" ht="15" customHeight="1">
      <c r="A17" t="inlineStr">
        <is>
          <t>A 50134-2024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45600</v>
      </c>
      <c r="E17" s="1" t="n">
        <v>46277</v>
      </c>
      <c r="F17" t="inlineStr">
        <is>
          <t>SKÅNE LÄN</t>
        </is>
      </c>
      <c r="G17" t="inlineStr">
        <is>
          <t>SIMRISHAMN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50134-2024 artfynd.xlsx", "A 50134-2024")</f>
        <v/>
      </c>
      <c r="X17">
        <f>HYPERLINK("https://klasma.github.io/Logging_1291/kartor/A 50134-2024 karta.png", "A 50134-2024")</f>
        <v/>
      </c>
      <c r="Y17">
        <f>HYPERLINK("https://klasma.github.io/Logging_1291/kartor_geotiff/A 50134-2024 georefererad karta.tif", "A 50134-2024")</f>
        <v/>
      </c>
      <c r="AA17">
        <f>HYPERLINK("https://klasma.github.io/Logging_1291/klagomål/A 50134-2024 FSC-klagomål.docx", "A 50134-2024")</f>
        <v/>
      </c>
      <c r="AB17">
        <f>HYPERLINK("https://klasma.github.io/Logging_1291/klagomålsmail/A 50134-2024 FSC-klagomål mail.docx", "A 50134-2024")</f>
        <v/>
      </c>
      <c r="AC17">
        <f>HYPERLINK("https://klasma.github.io/Logging_1291/tillsyn/A 50134-2024 tillsynsbegäran.docx", "A 50134-2024")</f>
        <v/>
      </c>
      <c r="AD17">
        <f>HYPERLINK("https://klasma.github.io/Logging_1291/tillsynsmail/A 50134-2024 tillsynsbegäran mail.docx", "A 50134-2024")</f>
        <v/>
      </c>
    </row>
    <row r="18" ht="15" customHeight="1">
      <c r="A18" t="inlineStr">
        <is>
          <t>A 26510-2026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46277</v>
      </c>
      <c r="F18" t="inlineStr">
        <is>
          <t>SKÅNE LÄN</t>
        </is>
      </c>
      <c r="G18" t="inlineStr">
        <is>
          <t>SIMRISHAMN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HYPERLINK("https://klasma.github.io/Logging_1291/artfynd/A 26510-2026 artfynd.xlsx", "A 26510-2026")</f>
        <v/>
      </c>
      <c r="X18">
        <f>HYPERLINK("https://klasma.github.io/Logging_1291/kartor/A 26510-2026 karta.png", "A 26510-2026")</f>
        <v/>
      </c>
      <c r="Y18">
        <f>HYPERLINK("https://klasma.github.io/Logging_1291/kartor_geotiff/A 26510-2026 georefererad karta.tif", "A 26510-2026")</f>
        <v/>
      </c>
      <c r="AA18">
        <f>HYPERLINK("https://klasma.github.io/Logging_1291/klagomål/A 26510-2026 FSC-klagomål.docx", "A 26510-2026")</f>
        <v/>
      </c>
      <c r="AB18">
        <f>HYPERLINK("https://klasma.github.io/Logging_1291/klagomålsmail/A 26510-2026 FSC-klagomål mail.docx", "A 26510-2026")</f>
        <v/>
      </c>
      <c r="AC18">
        <f>HYPERLINK("https://klasma.github.io/Logging_1291/tillsyn/A 26510-2026 tillsynsbegäran.docx", "A 26510-2026")</f>
        <v/>
      </c>
      <c r="AD18">
        <f>HYPERLINK("https://klasma.github.io/Logging_1291/tillsynsmail/A 26510-2026 tillsynsbegäran mail.docx", "A 26510-2026")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46277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34703-2026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46258</v>
      </c>
      <c r="E20" s="1" t="n">
        <v>46277</v>
      </c>
      <c r="F20" t="inlineStr">
        <is>
          <t>SKÅNE LÄN</t>
        </is>
      </c>
      <c r="G20" t="inlineStr">
        <is>
          <t>SIMRISHAMN</t>
        </is>
      </c>
      <c r="I20" t="n">
        <v>1.4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Gulsparv</t>
        </is>
      </c>
      <c r="W20">
        <f>HYPERLINK("https://klasma.github.io/Logging_1291/artfynd/A 34703-2026 artfynd.xlsx", "A 34703-2026")</f>
        <v/>
      </c>
      <c r="X20">
        <f>HYPERLINK("https://klasma.github.io/Logging_1291/kartor/A 34703-2026 karta.png", "A 34703-2026")</f>
        <v/>
      </c>
      <c r="Y20">
        <f>HYPERLINK("https://klasma.github.io/Logging_1291/kartor_geotiff/A 34703-2026 georefererad karta.tif", "A 34703-2026")</f>
        <v/>
      </c>
      <c r="AA20">
        <f>HYPERLINK("https://klasma.github.io/Logging_1291/klagomål/A 34703-2026 FSC-klagomål.docx", "A 34703-2026")</f>
        <v/>
      </c>
      <c r="AB20">
        <f>HYPERLINK("https://klasma.github.io/Logging_1291/klagomålsmail/A 34703-2026 FSC-klagomål mail.docx", "A 34703-2026")</f>
        <v/>
      </c>
      <c r="AC20">
        <f>HYPERLINK("https://klasma.github.io/Logging_1291/tillsyn/A 34703-2026 tillsynsbegäran.docx", "A 34703-2026")</f>
        <v/>
      </c>
      <c r="AD20">
        <f>HYPERLINK("https://klasma.github.io/Logging_1291/tillsynsmail/A 34703-2026 tillsynsbegäran mail.docx", "A 34703-2026")</f>
        <v/>
      </c>
      <c r="AE20">
        <f>HYPERLINK("https://klasma.github.io/Logging_1291/fåglar/A 34703-2026 prioriterade fågelarter.docx", "A 34703-2026")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46277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46277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A 3401-2024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45318</v>
      </c>
      <c r="E23" s="1" t="n">
        <v>46277</v>
      </c>
      <c r="F23" t="inlineStr">
        <is>
          <t>SKÅNE LÄN</t>
        </is>
      </c>
      <c r="G23" t="inlineStr">
        <is>
          <t>SIMRISHAMN</t>
        </is>
      </c>
      <c r="I23" t="n">
        <v>6.8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HYPERLINK("https://klasma.github.io/Logging_1291/artfynd/A 3401-2024 artfynd.xlsx", "A 3401-2024")</f>
        <v/>
      </c>
      <c r="X23">
        <f>HYPERLINK("https://klasma.github.io/Logging_1291/kartor/A 3401-2024 karta.png", "A 3401-2024")</f>
        <v/>
      </c>
      <c r="Y23">
        <f>HYPERLINK("https://klasma.github.io/Logging_1291/kartor_geotiff/A 3401-2024 georefererad karta.tif", "A 3401-2024")</f>
        <v/>
      </c>
      <c r="AA23">
        <f>HYPERLINK("https://klasma.github.io/Logging_1291/klagomål/A 3401-2024 FSC-klagomål.docx", "A 3401-2024")</f>
        <v/>
      </c>
      <c r="AB23">
        <f>HYPERLINK("https://klasma.github.io/Logging_1291/klagomålsmail/A 3401-2024 FSC-klagomål mail.docx", "A 3401-2024")</f>
        <v/>
      </c>
      <c r="AC23">
        <f>HYPERLINK("https://klasma.github.io/Logging_1291/tillsyn/A 3401-2024 tillsynsbegäran.docx", "A 3401-2024")</f>
        <v/>
      </c>
      <c r="AD23">
        <f>HYPERLINK("https://klasma.github.io/Logging_1291/tillsynsmail/A 3401-2024 tillsynsbegäran mail.docx", "A 3401-2024")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46277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46277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46277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46277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46277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46277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46277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46277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46277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46277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46277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46277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46277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46277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46277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46277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46277</v>
      </c>
      <c r="F40" t="inlineStr">
        <is>
          <t>SKÅNE LÄN</t>
        </is>
      </c>
      <c r="G40" t="inlineStr">
        <is>
          <t>SIMRISHAMN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46277</v>
      </c>
      <c r="F41" t="inlineStr">
        <is>
          <t>SKÅNE LÄN</t>
        </is>
      </c>
      <c r="G41" t="inlineStr">
        <is>
          <t>SIMRISHAMN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46277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46277</v>
      </c>
      <c r="F43" t="inlineStr">
        <is>
          <t>SKÅNE LÄN</t>
        </is>
      </c>
      <c r="G43" t="inlineStr">
        <is>
          <t>SIMRISHAMN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46277</v>
      </c>
      <c r="F44" t="inlineStr">
        <is>
          <t>SKÅNE LÄN</t>
        </is>
      </c>
      <c r="G44" t="inlineStr">
        <is>
          <t>SIMRISHAMN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55504-2025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46277</v>
      </c>
      <c r="F45" t="inlineStr">
        <is>
          <t>SKÅNE LÄN</t>
        </is>
      </c>
      <c r="G45" t="inlineStr">
        <is>
          <t>SIMRISHAMN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46277</v>
      </c>
      <c r="F46" t="inlineStr">
        <is>
          <t>SKÅNE LÄN</t>
        </is>
      </c>
      <c r="G46" t="inlineStr">
        <is>
          <t>SIMRISHAMN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46277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45993</v>
      </c>
      <c r="E48" s="1" t="n">
        <v>46277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45547</v>
      </c>
      <c r="E49" s="1" t="n">
        <v>46277</v>
      </c>
      <c r="F49" t="inlineStr">
        <is>
          <t>SKÅNE LÄN</t>
        </is>
      </c>
      <c r="G49" t="inlineStr">
        <is>
          <t>SIMRISHAMN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46277</v>
      </c>
      <c r="F50" t="inlineStr">
        <is>
          <t>SKÅNE LÄN</t>
        </is>
      </c>
      <c r="G50" t="inlineStr">
        <is>
          <t>SIMRISHAMN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30667-2023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46277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46277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46277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46277</v>
      </c>
      <c r="F54" t="inlineStr">
        <is>
          <t>SKÅNE LÄN</t>
        </is>
      </c>
      <c r="G54" t="inlineStr">
        <is>
          <t>SIMRISHAMN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45336</v>
      </c>
      <c r="E55" s="1" t="n">
        <v>46277</v>
      </c>
      <c r="F55" t="inlineStr">
        <is>
          <t>SKÅNE LÄN</t>
        </is>
      </c>
      <c r="G55" t="inlineStr">
        <is>
          <t>SIMRISHAMN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46277</v>
      </c>
      <c r="F56" t="inlineStr">
        <is>
          <t>SKÅNE LÄN</t>
        </is>
      </c>
      <c r="G56" t="inlineStr">
        <is>
          <t>SIMRISHAMN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46277</v>
      </c>
      <c r="F57" t="inlineStr">
        <is>
          <t>SKÅNE LÄN</t>
        </is>
      </c>
      <c r="G57" t="inlineStr">
        <is>
          <t>SIMRISHAMN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45348</v>
      </c>
      <c r="E58" s="1" t="n">
        <v>46277</v>
      </c>
      <c r="F58" t="inlineStr">
        <is>
          <t>SKÅNE LÄN</t>
        </is>
      </c>
      <c r="G58" t="inlineStr">
        <is>
          <t>SIMRISHAMN</t>
        </is>
      </c>
      <c r="I58" t="n">
        <v>6.9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35692-2024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46277</v>
      </c>
      <c r="F59" t="inlineStr">
        <is>
          <t>SKÅNE LÄN</t>
        </is>
      </c>
      <c r="G59" t="inlineStr">
        <is>
          <t>SIMRISHAMN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46277</v>
      </c>
      <c r="F60" t="inlineStr">
        <is>
          <t>SKÅNE LÄN</t>
        </is>
      </c>
      <c r="G60" t="inlineStr">
        <is>
          <t>SIMRISHAMN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1910-2026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46035</v>
      </c>
      <c r="E61" s="1" t="n">
        <v>46277</v>
      </c>
      <c r="F61" t="inlineStr">
        <is>
          <t>SKÅNE LÄN</t>
        </is>
      </c>
      <c r="G61" t="inlineStr">
        <is>
          <t>SIMRISHAMN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45162</v>
      </c>
      <c r="E62" s="1" t="n">
        <v>46277</v>
      </c>
      <c r="F62" t="inlineStr">
        <is>
          <t>SKÅNE LÄN</t>
        </is>
      </c>
      <c r="G62" t="inlineStr">
        <is>
          <t>SIMRISHAMN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46277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46277</v>
      </c>
      <c r="F64" t="inlineStr">
        <is>
          <t>SKÅNE LÄN</t>
        </is>
      </c>
      <c r="G64" t="inlineStr">
        <is>
          <t>SIMRISHAMN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45569</v>
      </c>
      <c r="E65" s="1" t="n">
        <v>46277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46277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46277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46277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46277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46277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46277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46277</v>
      </c>
      <c r="F72" t="inlineStr">
        <is>
          <t>SKÅNE LÄN</t>
        </is>
      </c>
      <c r="G72" t="inlineStr">
        <is>
          <t>SIMRISHAMN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44720</v>
      </c>
      <c r="E73" s="1" t="n">
        <v>46277</v>
      </c>
      <c r="F73" t="inlineStr">
        <is>
          <t>SKÅNE LÄN</t>
        </is>
      </c>
      <c r="G73" t="inlineStr">
        <is>
          <t>SIMRISHAMN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46277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46277</v>
      </c>
      <c r="F75" t="inlineStr">
        <is>
          <t>SKÅNE LÄN</t>
        </is>
      </c>
      <c r="G75" t="inlineStr">
        <is>
          <t>SIMRISHAMN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46277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46277</v>
      </c>
      <c r="F77" t="inlineStr">
        <is>
          <t>SKÅNE LÄN</t>
        </is>
      </c>
      <c r="G77" t="inlineStr">
        <is>
          <t>SIMRISHAMN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45343</v>
      </c>
      <c r="E78" s="1" t="n">
        <v>46277</v>
      </c>
      <c r="F78" t="inlineStr">
        <is>
          <t>SKÅNE LÄN</t>
        </is>
      </c>
      <c r="G78" t="inlineStr">
        <is>
          <t>SIMRISHAMN</t>
        </is>
      </c>
      <c r="H78" t="inlineStr">
        <is>
          <t>Övriga Aktiebolag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46277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45652</v>
      </c>
      <c r="E80" s="1" t="n">
        <v>46277</v>
      </c>
      <c r="F80" t="inlineStr">
        <is>
          <t>SKÅNE LÄN</t>
        </is>
      </c>
      <c r="G80" t="inlineStr">
        <is>
          <t>SIMRISHAMN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46125</v>
      </c>
      <c r="E81" s="1" t="n">
        <v>46277</v>
      </c>
      <c r="F81" t="inlineStr">
        <is>
          <t>SKÅNE LÄN</t>
        </is>
      </c>
      <c r="G81" t="inlineStr">
        <is>
          <t>SIMRISHAMN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46277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46277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46277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46277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46277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46277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46277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46277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46277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46277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46277</v>
      </c>
      <c r="F92" t="inlineStr">
        <is>
          <t>SKÅNE LÄN</t>
        </is>
      </c>
      <c r="G92" t="inlineStr">
        <is>
          <t>SIMRISHAMN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46277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46277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46277</v>
      </c>
      <c r="F95" t="inlineStr">
        <is>
          <t>SKÅNE LÄN</t>
        </is>
      </c>
      <c r="G95" t="inlineStr">
        <is>
          <t>SIMRISHAMN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46266</v>
      </c>
      <c r="E96" s="1" t="n">
        <v>46277</v>
      </c>
      <c r="F96" t="inlineStr">
        <is>
          <t>SKÅNE LÄN</t>
        </is>
      </c>
      <c r="G96" t="inlineStr">
        <is>
          <t>SIMRISHAMN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46277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46277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46277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46277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46277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2026-09-12T02:09:17Z</dcterms:created>
  <dcterms:modified xmlns:dcterms="http://purl.org/dc/terms/" xmlns:xsi="http://www.w3.org/2001/XMLSchema-instance" xsi:type="dcterms:W3CDTF">2026-09-12T02:09:17Z</dcterms:modified>
</cp:coreProperties>
</file>