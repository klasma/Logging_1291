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46291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46291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46291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46291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46291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46291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3401-2024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45318</v>
      </c>
      <c r="E15" s="1" t="n">
        <v>46291</v>
      </c>
      <c r="F15" t="inlineStr">
        <is>
          <t>SKÅNE LÄN</t>
        </is>
      </c>
      <c r="G15" t="inlineStr">
        <is>
          <t>SIMRISHAMN</t>
        </is>
      </c>
      <c r="I15" t="n">
        <v>6.8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HYPERLINK("https://klasma.github.io/Logging_1291/artfynd/A 3401-2024 artfynd.xlsx", "A 3401-2024")</f>
        <v/>
      </c>
      <c r="X15">
        <f>HYPERLINK("https://klasma.github.io/Logging_1291/kartor/A 3401-2024 karta.png", "A 3401-2024")</f>
        <v/>
      </c>
      <c r="Y15">
        <f>HYPERLINK("https://klasma.github.io/Logging_1291/kartor_geotiff/A 3401-2024 georefererad karta.tif", "A 3401-2024")</f>
        <v/>
      </c>
      <c r="AA15">
        <f>HYPERLINK("https://klasma.github.io/Logging_1291/klagomål/A 3401-2024 FSC-klagomål.docx", "A 3401-2024")</f>
        <v/>
      </c>
      <c r="AB15">
        <f>HYPERLINK("https://klasma.github.io/Logging_1291/klagomålsmail/A 3401-2024 FSC-klagomål mail.docx", "A 3401-2024")</f>
        <v/>
      </c>
      <c r="AC15">
        <f>HYPERLINK("https://klasma.github.io/Logging_1291/tillsyn/A 3401-2024 tillsynsbegäran.docx", "A 3401-2024")</f>
        <v/>
      </c>
      <c r="AD15">
        <f>HYPERLINK("https://klasma.github.io/Logging_1291/tillsynsmail/A 3401-2024 tillsynsbegäran mail.docx", "A 3401-2024")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46291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46291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46291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20090-2024 artfynd.xlsx", "A 20090-2024")</f>
        <v/>
      </c>
      <c r="X18">
        <f>HYPERLINK("https://klasma.github.io/Logging_1291/kartor/A 20090-2024 karta.png", "A 20090-2024")</f>
        <v/>
      </c>
      <c r="Y18">
        <f>HYPERLINK("https://klasma.github.io/Logging_1291/kartor_geotiff/A 20090-2024 georefererad karta.tif", "A 20090-2024")</f>
        <v/>
      </c>
      <c r="AA18">
        <f>HYPERLINK("https://klasma.github.io/Logging_1291/klagomål/A 20090-2024 FSC-klagomål.docx", "A 20090-2024")</f>
        <v/>
      </c>
      <c r="AB18">
        <f>HYPERLINK("https://klasma.github.io/Logging_1291/klagomålsmail/A 20090-2024 FSC-klagomål mail.docx", "A 20090-2024")</f>
        <v/>
      </c>
      <c r="AC18">
        <f>HYPERLINK("https://klasma.github.io/Logging_1291/tillsyn/A 20090-2024 tillsynsbegäran.docx", "A 20090-2024")</f>
        <v/>
      </c>
      <c r="AD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46291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50134-2024 artfynd.xlsx", "A 50134-2024")</f>
        <v/>
      </c>
      <c r="X19">
        <f>HYPERLINK("https://klasma.github.io/Logging_1291/kartor/A 50134-2024 karta.png", "A 50134-2024")</f>
        <v/>
      </c>
      <c r="Y19">
        <f>HYPERLINK("https://klasma.github.io/Logging_1291/kartor_geotiff/A 50134-2024 georefererad karta.tif", "A 50134-2024")</f>
        <v/>
      </c>
      <c r="AA19">
        <f>HYPERLINK("https://klasma.github.io/Logging_1291/klagomål/A 50134-2024 FSC-klagomål.docx", "A 50134-2024")</f>
        <v/>
      </c>
      <c r="AB19">
        <f>HYPERLINK("https://klasma.github.io/Logging_1291/klagomålsmail/A 50134-2024 FSC-klagomål mail.docx", "A 50134-2024")</f>
        <v/>
      </c>
      <c r="AC19">
        <f>HYPERLINK("https://klasma.github.io/Logging_1291/tillsyn/A 50134-2024 tillsynsbegäran.docx", "A 50134-2024")</f>
        <v/>
      </c>
      <c r="AD19">
        <f>HYPERLINK("https://klasma.github.io/Logging_1291/tillsynsmail/A 50134-2024 tillsynsbegäran mail.docx", "A 50134-2024")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46291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46291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46291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46291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46291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46291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46291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46291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46291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46291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46291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46291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46291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45343</v>
      </c>
      <c r="E37" s="1" t="n">
        <v>46291</v>
      </c>
      <c r="F37" t="inlineStr">
        <is>
          <t>SKÅNE LÄN</t>
        </is>
      </c>
      <c r="G37" t="inlineStr">
        <is>
          <t>SIMRISHAMN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46291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46291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46291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44923</v>
      </c>
      <c r="E41" s="1" t="n">
        <v>46291</v>
      </c>
      <c r="F41" t="inlineStr">
        <is>
          <t>SKÅNE LÄN</t>
        </is>
      </c>
      <c r="G41" t="inlineStr">
        <is>
          <t>SIMRISHAMN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55504-2025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46291</v>
      </c>
      <c r="F42" t="inlineStr">
        <is>
          <t>SKÅNE LÄN</t>
        </is>
      </c>
      <c r="G42" t="inlineStr">
        <is>
          <t>SIMRISHAMN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46291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46291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46291</v>
      </c>
      <c r="F45" t="inlineStr">
        <is>
          <t>SKÅNE LÄN</t>
        </is>
      </c>
      <c r="G45" t="inlineStr">
        <is>
          <t>SIMRISHAMN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45993</v>
      </c>
      <c r="E46" s="1" t="n">
        <v>46291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46291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46291</v>
      </c>
      <c r="F48" t="inlineStr">
        <is>
          <t>SKÅNE LÄN</t>
        </is>
      </c>
      <c r="G48" t="inlineStr">
        <is>
          <t>SIMRISHAMN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46291</v>
      </c>
      <c r="F49" t="inlineStr">
        <is>
          <t>SKÅNE LÄN</t>
        </is>
      </c>
      <c r="G49" t="inlineStr">
        <is>
          <t>SIMRISHAMN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46291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46291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46291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46291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46291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46291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46291</v>
      </c>
      <c r="F56" t="inlineStr">
        <is>
          <t>SKÅNE LÄN</t>
        </is>
      </c>
      <c r="G56" t="inlineStr">
        <is>
          <t>SIMRISHAMN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46291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46291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45700</v>
      </c>
      <c r="E59" s="1" t="n">
        <v>46291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45348</v>
      </c>
      <c r="E60" s="1" t="n">
        <v>46291</v>
      </c>
      <c r="F60" t="inlineStr">
        <is>
          <t>SKÅNE LÄN</t>
        </is>
      </c>
      <c r="G60" t="inlineStr">
        <is>
          <t>SIMRISHAMN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46291</v>
      </c>
      <c r="F61" t="inlineStr">
        <is>
          <t>SKÅNE LÄN</t>
        </is>
      </c>
      <c r="G61" t="inlineStr">
        <is>
          <t>SIMRISHAMN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46291</v>
      </c>
      <c r="F62" t="inlineStr">
        <is>
          <t>SKÅNE LÄN</t>
        </is>
      </c>
      <c r="G62" t="inlineStr">
        <is>
          <t>SIMRISHAMN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45162</v>
      </c>
      <c r="E63" s="1" t="n">
        <v>46291</v>
      </c>
      <c r="F63" t="inlineStr">
        <is>
          <t>SKÅNE LÄN</t>
        </is>
      </c>
      <c r="G63" t="inlineStr">
        <is>
          <t>SIMRISHAMN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46291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46291</v>
      </c>
      <c r="F65" t="inlineStr">
        <is>
          <t>SKÅNE LÄN</t>
        </is>
      </c>
      <c r="G65" t="inlineStr">
        <is>
          <t>SIMRISHAMN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46291</v>
      </c>
      <c r="F66" t="inlineStr">
        <is>
          <t>SKÅNE LÄN</t>
        </is>
      </c>
      <c r="G66" t="inlineStr">
        <is>
          <t>SIMRISHAMN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20950-2023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45061</v>
      </c>
      <c r="E67" s="1" t="n">
        <v>46291</v>
      </c>
      <c r="F67" t="inlineStr">
        <is>
          <t>SKÅNE LÄN</t>
        </is>
      </c>
      <c r="G67" t="inlineStr">
        <is>
          <t>SIMRISHAMN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46291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45334</v>
      </c>
      <c r="E69" s="1" t="n">
        <v>46291</v>
      </c>
      <c r="F69" t="inlineStr">
        <is>
          <t>SKÅNE LÄN</t>
        </is>
      </c>
      <c r="G69" t="inlineStr">
        <is>
          <t>SIMRISHAMN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45162</v>
      </c>
      <c r="E70" s="1" t="n">
        <v>46291</v>
      </c>
      <c r="F70" t="inlineStr">
        <is>
          <t>SKÅNE LÄN</t>
        </is>
      </c>
      <c r="G70" t="inlineStr">
        <is>
          <t>SIMRISHAMN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46291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46291</v>
      </c>
      <c r="F72" t="inlineStr">
        <is>
          <t>SKÅNE LÄN</t>
        </is>
      </c>
      <c r="G72" t="inlineStr">
        <is>
          <t>SIMRISHAMN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46291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46291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46291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46291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46291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46291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46291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46291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46291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46291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46291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46291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46291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46291</v>
      </c>
      <c r="F86" t="inlineStr">
        <is>
          <t>SKÅNE LÄN</t>
        </is>
      </c>
      <c r="G86" t="inlineStr">
        <is>
          <t>SIMRISHAMN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46291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46291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46291</v>
      </c>
      <c r="F89" t="inlineStr">
        <is>
          <t>SKÅNE LÄN</t>
        </is>
      </c>
      <c r="G89" t="inlineStr">
        <is>
          <t>SIMRISHAMN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46291</v>
      </c>
      <c r="F90" t="inlineStr">
        <is>
          <t>SKÅNE LÄN</t>
        </is>
      </c>
      <c r="G90" t="inlineStr">
        <is>
          <t>SIMRISHAMN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45572</v>
      </c>
      <c r="E91" s="1" t="n">
        <v>46291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44827</v>
      </c>
      <c r="E92" s="1" t="n">
        <v>46291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46291</v>
      </c>
      <c r="F93" t="inlineStr">
        <is>
          <t>SKÅNE LÄN</t>
        </is>
      </c>
      <c r="G93" t="inlineStr">
        <is>
          <t>SIMRISHAMN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46291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46291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46291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46291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46291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46291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2026-09-26T02:06:39Z</dcterms:created>
  <dcterms:modified xmlns:dcterms="http://purl.org/dc/terms/" xmlns:xsi="http://www.w3.org/2001/XMLSchema-instance" xsi:type="dcterms:W3CDTF">2026-09-26T02:06:39Z</dcterms:modified>
</cp:coreProperties>
</file>