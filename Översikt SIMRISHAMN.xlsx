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46254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46254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46254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46254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46254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46254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46254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46254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46254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46254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46254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46254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45802-2022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46254</v>
      </c>
      <c r="F14" t="inlineStr">
        <is>
          <t>SKÅNE LÄN</t>
        </is>
      </c>
      <c r="G14" t="inlineStr">
        <is>
          <t>SIMRISHAMN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Hartsticka</t>
        </is>
      </c>
      <c r="W14">
        <f>HYPERLINK("https://klasma.github.io/Logging_1291/artfynd/A 45802-2022 artfynd.xlsx", "A 45802-2022")</f>
        <v/>
      </c>
      <c r="X14">
        <f>HYPERLINK("https://klasma.github.io/Logging_1291/kartor/A 45802-2022 karta.png", "A 45802-2022")</f>
        <v/>
      </c>
      <c r="Y14">
        <f>HYPERLINK("https://klasma.github.io/Logging_1291/kartor_geotiff/A 45802-2022 georefererad karta.tif", "A 45802-2022")</f>
        <v/>
      </c>
      <c r="AA14">
        <f>HYPERLINK("https://klasma.github.io/Logging_1291/klagomål/A 45802-2022 FSC-klagomål.docx", "A 45802-2022")</f>
        <v/>
      </c>
      <c r="AB14">
        <f>HYPERLINK("https://klasma.github.io/Logging_1291/klagomålsmail/A 45802-2022 FSC-klagomål mail.docx", "A 45802-2022")</f>
        <v/>
      </c>
      <c r="AC14">
        <f>HYPERLINK("https://klasma.github.io/Logging_1291/tillsyn/A 45802-2022 tillsynsbegäran.docx", "A 45802-2022")</f>
        <v/>
      </c>
      <c r="AD14">
        <f>HYPERLINK("https://klasma.github.io/Logging_1291/tillsynsmail/A 45802-2022 tillsynsbegäran mail.docx", "A 45802-2022")</f>
        <v/>
      </c>
    </row>
    <row r="15" ht="15" customHeight="1">
      <c r="A15" t="inlineStr">
        <is>
          <t>A 7082-2024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46254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22.7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Småvänderot</t>
        </is>
      </c>
      <c r="W15">
        <f>HYPERLINK("https://klasma.github.io/Logging_1291/artfynd/A 7082-2024 artfynd.xlsx", "A 7082-2024")</f>
        <v/>
      </c>
      <c r="X15">
        <f>HYPERLINK("https://klasma.github.io/Logging_1291/kartor/A 7082-2024 karta.png", "A 7082-2024")</f>
        <v/>
      </c>
      <c r="Y15">
        <f>HYPERLINK("https://klasma.github.io/Logging_1291/kartor_geotiff/A 7082-2024 georefererad karta.tif", "A 7082-2024")</f>
        <v/>
      </c>
      <c r="AA15">
        <f>HYPERLINK("https://klasma.github.io/Logging_1291/klagomål/A 7082-2024 FSC-klagomål.docx", "A 7082-2024")</f>
        <v/>
      </c>
      <c r="AB15">
        <f>HYPERLINK("https://klasma.github.io/Logging_1291/klagomålsmail/A 7082-2024 FSC-klagomål mail.docx", "A 7082-2024")</f>
        <v/>
      </c>
      <c r="AC15">
        <f>HYPERLINK("https://klasma.github.io/Logging_1291/tillsyn/A 7082-2024 tillsynsbegäran.docx", "A 7082-2024")</f>
        <v/>
      </c>
      <c r="AD15">
        <f>HYPERLINK("https://klasma.github.io/Logging_1291/tillsynsmail/A 7082-2024 tillsynsbegäran mail.docx", "A 7082-2024")</f>
        <v/>
      </c>
    </row>
    <row r="16" ht="15" customHeight="1">
      <c r="A16" t="inlineStr">
        <is>
          <t>A 26510-2026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46183</v>
      </c>
      <c r="E16" s="1" t="n">
        <v>46254</v>
      </c>
      <c r="F16" t="inlineStr">
        <is>
          <t>SKÅNE LÄN</t>
        </is>
      </c>
      <c r="G16" t="inlineStr">
        <is>
          <t>SIMRISHAMN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HYPERLINK("https://klasma.github.io/Logging_1291/artfynd/A 26510-2026 artfynd.xlsx", "A 26510-2026")</f>
        <v/>
      </c>
      <c r="X16">
        <f>HYPERLINK("https://klasma.github.io/Logging_1291/kartor/A 26510-2026 karta.png", "A 26510-2026")</f>
        <v/>
      </c>
      <c r="Y16">
        <f>HYPERLINK("https://klasma.github.io/Logging_1291/kartor_geotiff/A 26510-2026 georefererad karta.tif", "A 26510-2026")</f>
        <v/>
      </c>
      <c r="AA16">
        <f>HYPERLINK("https://klasma.github.io/Logging_1291/klagomål/A 26510-2026 FSC-klagomål.docx", "A 26510-2026")</f>
        <v/>
      </c>
      <c r="AB16">
        <f>HYPERLINK("https://klasma.github.io/Logging_1291/klagomålsmail/A 26510-2026 FSC-klagomål mail.docx", "A 26510-2026")</f>
        <v/>
      </c>
      <c r="AC16">
        <f>HYPERLINK("https://klasma.github.io/Logging_1291/tillsyn/A 26510-2026 tillsynsbegäran.docx", "A 26510-2026")</f>
        <v/>
      </c>
      <c r="AD16">
        <f>HYPERLINK("https://klasma.github.io/Logging_1291/tillsynsmail/A 26510-2026 tillsynsbegäran mail.docx", "A 26510-2026")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46254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22194-2023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46254</v>
      </c>
      <c r="F18" t="inlineStr">
        <is>
          <t>SKÅNE LÄN</t>
        </is>
      </c>
      <c r="G18" t="inlineStr">
        <is>
          <t>SIMRISHAMN</t>
        </is>
      </c>
      <c r="H18" t="inlineStr">
        <is>
          <t>Övriga Aktiebolag</t>
        </is>
      </c>
      <c r="I18" t="n">
        <v>11.4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Sandödla</t>
        </is>
      </c>
      <c r="W18">
        <f>HYPERLINK("https://klasma.github.io/Logging_1291/artfynd/A 22194-2023 artfynd.xlsx", "A 22194-2023")</f>
        <v/>
      </c>
      <c r="X18">
        <f>HYPERLINK("https://klasma.github.io/Logging_1291/kartor/A 22194-2023 karta.png", "A 22194-2023")</f>
        <v/>
      </c>
      <c r="Y18">
        <f>HYPERLINK("https://klasma.github.io/Logging_1291/kartor_geotiff/A 22194-2023 georefererad karta.tif", "A 22194-2023")</f>
        <v/>
      </c>
      <c r="AA18">
        <f>HYPERLINK("https://klasma.github.io/Logging_1291/klagomål/A 22194-2023 FSC-klagomål.docx", "A 22194-2023")</f>
        <v/>
      </c>
      <c r="AB18">
        <f>HYPERLINK("https://klasma.github.io/Logging_1291/klagomålsmail/A 22194-2023 FSC-klagomål mail.docx", "A 22194-2023")</f>
        <v/>
      </c>
      <c r="AC18">
        <f>HYPERLINK("https://klasma.github.io/Logging_1291/tillsyn/A 22194-2023 tillsynsbegäran.docx", "A 22194-2023")</f>
        <v/>
      </c>
      <c r="AD18">
        <f>HYPERLINK("https://klasma.github.io/Logging_1291/tillsynsmail/A 22194-2023 tillsynsbegäran mail.docx", "A 22194-2023")</f>
        <v/>
      </c>
    </row>
    <row r="19" ht="15" customHeight="1">
      <c r="A19" t="inlineStr">
        <is>
          <t>A 17038-2026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46254</v>
      </c>
      <c r="F19" t="inlineStr">
        <is>
          <t>SKÅNE LÄN</t>
        </is>
      </c>
      <c r="G19" t="inlineStr">
        <is>
          <t>SIMRISHAMN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Hasselmus</t>
        </is>
      </c>
      <c r="W19">
        <f>HYPERLINK("https://klasma.github.io/Logging_1291/artfynd/A 17038-2026 artfynd.xlsx", "A 17038-2026")</f>
        <v/>
      </c>
      <c r="X19">
        <f>HYPERLINK("https://klasma.github.io/Logging_1291/kartor/A 17038-2026 karta.png", "A 17038-2026")</f>
        <v/>
      </c>
      <c r="Y19">
        <f>HYPERLINK("https://klasma.github.io/Logging_1291/kartor_geotiff/A 17038-2026 georefererad karta.tif", "A 17038-2026")</f>
        <v/>
      </c>
      <c r="AA19">
        <f>HYPERLINK("https://klasma.github.io/Logging_1291/klagomål/A 17038-2026 FSC-klagomål.docx", "A 17038-2026")</f>
        <v/>
      </c>
      <c r="AB19">
        <f>HYPERLINK("https://klasma.github.io/Logging_1291/klagomålsmail/A 17038-2026 FSC-klagomål mail.docx", "A 17038-2026")</f>
        <v/>
      </c>
      <c r="AC19">
        <f>HYPERLINK("https://klasma.github.io/Logging_1291/tillsyn/A 17038-2026 tillsynsbegäran.docx", "A 17038-2026")</f>
        <v/>
      </c>
      <c r="AD19">
        <f>HYPERLINK("https://klasma.github.io/Logging_1291/tillsynsmail/A 17038-2026 tillsynsbegäran mail.docx", "A 17038-2026")</f>
        <v/>
      </c>
    </row>
    <row r="20" ht="15" customHeight="1">
      <c r="A20" t="inlineStr">
        <is>
          <t>A 17022-2026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46114</v>
      </c>
      <c r="E20" s="1" t="n">
        <v>46254</v>
      </c>
      <c r="F20" t="inlineStr">
        <is>
          <t>SKÅNE LÄN</t>
        </is>
      </c>
      <c r="G20" t="inlineStr">
        <is>
          <t>SIMRISHAMN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Hasselmus</t>
        </is>
      </c>
      <c r="W20">
        <f>HYPERLINK("https://klasma.github.io/Logging_1291/artfynd/A 17022-2026 artfynd.xlsx", "A 17022-2026")</f>
        <v/>
      </c>
      <c r="X20">
        <f>HYPERLINK("https://klasma.github.io/Logging_1291/kartor/A 17022-2026 karta.png", "A 17022-2026")</f>
        <v/>
      </c>
      <c r="Y20">
        <f>HYPERLINK("https://klasma.github.io/Logging_1291/kartor_geotiff/A 17022-2026 georefererad karta.tif", "A 17022-2026")</f>
        <v/>
      </c>
      <c r="AA20">
        <f>HYPERLINK("https://klasma.github.io/Logging_1291/klagomål/A 17022-2026 FSC-klagomål.docx", "A 17022-2026")</f>
        <v/>
      </c>
      <c r="AB20">
        <f>HYPERLINK("https://klasma.github.io/Logging_1291/klagomålsmail/A 17022-2026 FSC-klagomål mail.docx", "A 17022-2026")</f>
        <v/>
      </c>
      <c r="AC20">
        <f>HYPERLINK("https://klasma.github.io/Logging_1291/tillsyn/A 17022-2026 tillsynsbegäran.docx", "A 17022-2026")</f>
        <v/>
      </c>
      <c r="AD20">
        <f>HYPERLINK("https://klasma.github.io/Logging_1291/tillsynsmail/A 17022-2026 tillsynsbegäran mail.docx", "A 17022-2026")</f>
        <v/>
      </c>
    </row>
    <row r="21" ht="15" customHeight="1">
      <c r="A21" t="inlineStr">
        <is>
          <t>A 18002-2026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46254</v>
      </c>
      <c r="F21" t="inlineStr">
        <is>
          <t>SKÅNE LÄN</t>
        </is>
      </c>
      <c r="G21" t="inlineStr">
        <is>
          <t>SIMRISHAMN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18002-2026 artfynd.xlsx", "A 18002-2026")</f>
        <v/>
      </c>
      <c r="X21">
        <f>HYPERLINK("https://klasma.github.io/Logging_1291/kartor/A 18002-2026 karta.png", "A 18002-2026")</f>
        <v/>
      </c>
      <c r="Y21">
        <f>HYPERLINK("https://klasma.github.io/Logging_1291/kartor_geotiff/A 18002-2026 georefererad karta.tif", "A 18002-2026")</f>
        <v/>
      </c>
      <c r="AA21">
        <f>HYPERLINK("https://klasma.github.io/Logging_1291/klagomål/A 18002-2026 FSC-klagomål.docx", "A 18002-2026")</f>
        <v/>
      </c>
      <c r="AB21">
        <f>HYPERLINK("https://klasma.github.io/Logging_1291/klagomålsmail/A 18002-2026 FSC-klagomål mail.docx", "A 18002-2026")</f>
        <v/>
      </c>
      <c r="AC21">
        <f>HYPERLINK("https://klasma.github.io/Logging_1291/tillsyn/A 18002-2026 tillsynsbegäran.docx", "A 18002-2026")</f>
        <v/>
      </c>
      <c r="AD21">
        <f>HYPERLINK("https://klasma.github.io/Logging_1291/tillsynsmail/A 18002-2026 tillsynsbegäran mail.docx", "A 18002-2026")</f>
        <v/>
      </c>
    </row>
    <row r="22" ht="15" customHeight="1">
      <c r="A22" t="inlineStr">
        <is>
          <t>A 3401-2024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45318</v>
      </c>
      <c r="E22" s="1" t="n">
        <v>46254</v>
      </c>
      <c r="F22" t="inlineStr">
        <is>
          <t>SKÅNE LÄN</t>
        </is>
      </c>
      <c r="G22" t="inlineStr">
        <is>
          <t>SIMRISHAMN</t>
        </is>
      </c>
      <c r="I22" t="n">
        <v>6.8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HYPERLINK("https://klasma.github.io/Logging_1291/artfynd/A 3401-2024 artfynd.xlsx", "A 3401-2024")</f>
        <v/>
      </c>
      <c r="X22">
        <f>HYPERLINK("https://klasma.github.io/Logging_1291/kartor/A 3401-2024 karta.png", "A 3401-2024")</f>
        <v/>
      </c>
      <c r="Y22">
        <f>HYPERLINK("https://klasma.github.io/Logging_1291/kartor_geotiff/A 3401-2024 georefererad karta.tif", "A 3401-2024")</f>
        <v/>
      </c>
      <c r="AA22">
        <f>HYPERLINK("https://klasma.github.io/Logging_1291/klagomål/A 3401-2024 FSC-klagomål.docx", "A 3401-2024")</f>
        <v/>
      </c>
      <c r="AB22">
        <f>HYPERLINK("https://klasma.github.io/Logging_1291/klagomålsmail/A 3401-2024 FSC-klagomål mail.docx", "A 3401-2024")</f>
        <v/>
      </c>
      <c r="AC22">
        <f>HYPERLINK("https://klasma.github.io/Logging_1291/tillsyn/A 3401-2024 tillsynsbegäran.docx", "A 3401-2024")</f>
        <v/>
      </c>
      <c r="AD22">
        <f>HYPERLINK("https://klasma.github.io/Logging_1291/tillsynsmail/A 3401-2024 tillsynsbegäran mail.docx", "A 3401-2024")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46254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HYPERLINK("https://klasma.github.io/Logging_1291/artfynd/S 3372-2024 artfynd.xlsx", "S 3372-2024")</f>
        <v/>
      </c>
      <c r="X23">
        <f>HYPERLINK("https://klasma.github.io/Logging_1291/kartor/S 3372-2024 karta.png", "S 3372-2024")</f>
        <v/>
      </c>
      <c r="Y23">
        <f>HYPERLINK("https://klasma.github.io/Logging_1291/kartor_geotiff/S 3372-2024 georefererad karta.tif", "S 3372-2024")</f>
        <v/>
      </c>
      <c r="AA23">
        <f>HYPERLINK("https://klasma.github.io/Logging_1291/klagomål/S 3372-2024 FSC-klagomål.docx", "S 3372-2024")</f>
        <v/>
      </c>
      <c r="AB23">
        <f>HYPERLINK("https://klasma.github.io/Logging_1291/klagomålsmail/S 3372-2024 FSC-klagomål mail.docx", "S 3372-2024")</f>
        <v/>
      </c>
      <c r="AC23">
        <f>HYPERLINK("https://klasma.github.io/Logging_1291/tillsyn/S 3372-2024 tillsynsbegäran.docx", "S 3372-2024")</f>
        <v/>
      </c>
      <c r="AD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46254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Hasselmus</t>
        </is>
      </c>
      <c r="W24">
        <f>HYPERLINK("https://klasma.github.io/Logging_1291/artfynd/S 300-2023 artfynd.xlsx", "S 300-2023")</f>
        <v/>
      </c>
      <c r="X24">
        <f>HYPERLINK("https://klasma.github.io/Logging_1291/kartor/S 300-2023 karta.png", "S 300-2023")</f>
        <v/>
      </c>
      <c r="Y24">
        <f>HYPERLINK("https://klasma.github.io/Logging_1291/kartor_geotiff/S 300-2023 georefererad karta.tif", "S 300-2023")</f>
        <v/>
      </c>
      <c r="AA24">
        <f>HYPERLINK("https://klasma.github.io/Logging_1291/klagomål/S 300-2023 FSC-klagomål.docx", "S 300-2023")</f>
        <v/>
      </c>
      <c r="AB24">
        <f>HYPERLINK("https://klasma.github.io/Logging_1291/klagomålsmail/S 300-2023 FSC-klagomål mail.docx", "S 300-2023")</f>
        <v/>
      </c>
      <c r="AC24">
        <f>HYPERLINK("https://klasma.github.io/Logging_1291/tillsyn/S 300-2023 tillsynsbegäran.docx", "S 300-2023")</f>
        <v/>
      </c>
      <c r="AD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46254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25822-2022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44733</v>
      </c>
      <c r="E26" s="1" t="n">
        <v>46254</v>
      </c>
      <c r="F26" t="inlineStr">
        <is>
          <t>SKÅNE LÄN</t>
        </is>
      </c>
      <c r="G26" t="inlineStr">
        <is>
          <t>SIMRISHAMN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62149-2022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44922</v>
      </c>
      <c r="E27" s="1" t="n">
        <v>46254</v>
      </c>
      <c r="F27" t="inlineStr">
        <is>
          <t>SKÅNE LÄN</t>
        </is>
      </c>
      <c r="G27" t="inlineStr">
        <is>
          <t>SIMRISHAMN</t>
        </is>
      </c>
      <c r="H27" t="inlineStr">
        <is>
          <t>Övriga Aktiebolag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46254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3405-2024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45318</v>
      </c>
      <c r="E29" s="1" t="n">
        <v>46254</v>
      </c>
      <c r="F29" t="inlineStr">
        <is>
          <t>SKÅNE LÄN</t>
        </is>
      </c>
      <c r="G29" t="inlineStr">
        <is>
          <t>SIMRISHAMN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46254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46254</v>
      </c>
      <c r="F31" t="inlineStr">
        <is>
          <t>SKÅNE LÄN</t>
        </is>
      </c>
      <c r="G31" t="inlineStr">
        <is>
          <t>SIMRISHAMN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42374-2023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46254</v>
      </c>
      <c r="F32" t="inlineStr">
        <is>
          <t>SKÅNE LÄN</t>
        </is>
      </c>
      <c r="G32" t="inlineStr">
        <is>
          <t>SIMRISHAMN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46254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61876-2024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46254</v>
      </c>
      <c r="F34" t="inlineStr">
        <is>
          <t>SKÅNE LÄN</t>
        </is>
      </c>
      <c r="G34" t="inlineStr">
        <is>
          <t>SIMRISHAMN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14000-2025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45740</v>
      </c>
      <c r="E35" s="1" t="n">
        <v>46254</v>
      </c>
      <c r="F35" t="inlineStr">
        <is>
          <t>SKÅNE LÄN</t>
        </is>
      </c>
      <c r="G35" t="inlineStr">
        <is>
          <t>SIMRISHAMN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45336</v>
      </c>
      <c r="E36" s="1" t="n">
        <v>46254</v>
      </c>
      <c r="F36" t="inlineStr">
        <is>
          <t>SKÅNE LÄN</t>
        </is>
      </c>
      <c r="G36" t="inlineStr">
        <is>
          <t>SIMRISHAMN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44827</v>
      </c>
      <c r="E37" s="1" t="n">
        <v>46254</v>
      </c>
      <c r="F37" t="inlineStr">
        <is>
          <t>SKÅNE LÄN</t>
        </is>
      </c>
      <c r="G37" t="inlineStr">
        <is>
          <t>SIMRISHAMN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46254</v>
      </c>
      <c r="F38" t="inlineStr">
        <is>
          <t>SKÅNE LÄN</t>
        </is>
      </c>
      <c r="G38" t="inlineStr">
        <is>
          <t>SIMRISHAMN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63456-2023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45273</v>
      </c>
      <c r="E39" s="1" t="n">
        <v>46254</v>
      </c>
      <c r="F39" t="inlineStr">
        <is>
          <t>SKÅNE LÄN</t>
        </is>
      </c>
      <c r="G39" t="inlineStr">
        <is>
          <t>SIMRISHAMN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45946-2022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44845</v>
      </c>
      <c r="E40" s="1" t="n">
        <v>46254</v>
      </c>
      <c r="F40" t="inlineStr">
        <is>
          <t>SKÅNE LÄN</t>
        </is>
      </c>
      <c r="G40" t="inlineStr">
        <is>
          <t>SIMRISHAMN</t>
        </is>
      </c>
      <c r="I40" t="n">
        <v>14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50138-2024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46254</v>
      </c>
      <c r="F41" t="inlineStr">
        <is>
          <t>SKÅNE LÄN</t>
        </is>
      </c>
      <c r="G41" t="inlineStr">
        <is>
          <t>SIMRISHAMN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19141-2025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45769</v>
      </c>
      <c r="E42" s="1" t="n">
        <v>46254</v>
      </c>
      <c r="F42" t="inlineStr">
        <is>
          <t>SKÅNE LÄN</t>
        </is>
      </c>
      <c r="G42" t="inlineStr">
        <is>
          <t>SIMRISHAMN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7072-2024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45343</v>
      </c>
      <c r="E43" s="1" t="n">
        <v>46254</v>
      </c>
      <c r="F43" t="inlineStr">
        <is>
          <t>SKÅNE LÄN</t>
        </is>
      </c>
      <c r="G43" t="inlineStr">
        <is>
          <t>SIMRISHAMN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44943</v>
      </c>
      <c r="E44" s="1" t="n">
        <v>46254</v>
      </c>
      <c r="F44" t="inlineStr">
        <is>
          <t>SKÅNE LÄN</t>
        </is>
      </c>
      <c r="G44" t="inlineStr">
        <is>
          <t>SIMRISHAMN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42231-2023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45180</v>
      </c>
      <c r="E45" s="1" t="n">
        <v>46254</v>
      </c>
      <c r="F45" t="inlineStr">
        <is>
          <t>SKÅNE LÄN</t>
        </is>
      </c>
      <c r="G45" t="inlineStr">
        <is>
          <t>SIMRISHAMN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46254</v>
      </c>
      <c r="F46" t="inlineStr">
        <is>
          <t>SKÅNE LÄN</t>
        </is>
      </c>
      <c r="G46" t="inlineStr">
        <is>
          <t>SIMRISHAMN</t>
        </is>
      </c>
      <c r="H46" t="inlineStr">
        <is>
          <t>Övriga Aktiebolag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46254</v>
      </c>
      <c r="F47" t="inlineStr">
        <is>
          <t>SKÅNE LÄN</t>
        </is>
      </c>
      <c r="G47" t="inlineStr">
        <is>
          <t>SIMRISHAMN</t>
        </is>
      </c>
      <c r="H47" t="inlineStr">
        <is>
          <t>Övriga Aktiebolag</t>
        </is>
      </c>
      <c r="I47" t="n">
        <v>10.6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45838</v>
      </c>
      <c r="E48" s="1" t="n">
        <v>46254</v>
      </c>
      <c r="F48" t="inlineStr">
        <is>
          <t>SKÅNE LÄN</t>
        </is>
      </c>
      <c r="G48" t="inlineStr">
        <is>
          <t>SIMRISHAMN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3602-2024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45320</v>
      </c>
      <c r="E49" s="1" t="n">
        <v>46254</v>
      </c>
      <c r="F49" t="inlineStr">
        <is>
          <t>SKÅNE LÄN</t>
        </is>
      </c>
      <c r="G49" t="inlineStr">
        <is>
          <t>SIMRISHAMN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46254</v>
      </c>
      <c r="F50" t="inlineStr">
        <is>
          <t>SKÅNE LÄN</t>
        </is>
      </c>
      <c r="G50" t="inlineStr">
        <is>
          <t>SIMRISHAMN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45317</v>
      </c>
      <c r="E51" s="1" t="n">
        <v>46254</v>
      </c>
      <c r="F51" t="inlineStr">
        <is>
          <t>SKÅNE LÄN</t>
        </is>
      </c>
      <c r="G51" t="inlineStr">
        <is>
          <t>SIMRISHAMN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37052-2025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45875</v>
      </c>
      <c r="E52" s="1" t="n">
        <v>46254</v>
      </c>
      <c r="F52" t="inlineStr">
        <is>
          <t>SKÅNE LÄN</t>
        </is>
      </c>
      <c r="G52" t="inlineStr">
        <is>
          <t>SIMRISHAMN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62316-2025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46006</v>
      </c>
      <c r="E53" s="1" t="n">
        <v>46254</v>
      </c>
      <c r="F53" t="inlineStr">
        <is>
          <t>SKÅNE LÄN</t>
        </is>
      </c>
      <c r="G53" t="inlineStr">
        <is>
          <t>SIMRISHAMN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14104-2024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46254</v>
      </c>
      <c r="F54" t="inlineStr">
        <is>
          <t>SKÅNE LÄN</t>
        </is>
      </c>
      <c r="G54" t="inlineStr">
        <is>
          <t>SIMRISHAMN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14106-2024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46254</v>
      </c>
      <c r="F55" t="inlineStr">
        <is>
          <t>SKÅNE LÄN</t>
        </is>
      </c>
      <c r="G55" t="inlineStr">
        <is>
          <t>SIMRISHAMN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45318</v>
      </c>
      <c r="E56" s="1" t="n">
        <v>46254</v>
      </c>
      <c r="F56" t="inlineStr">
        <is>
          <t>SKÅNE LÄN</t>
        </is>
      </c>
      <c r="G56" t="inlineStr">
        <is>
          <t>SIMRISHAMN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46254</v>
      </c>
      <c r="F57" t="inlineStr">
        <is>
          <t>SKÅNE LÄN</t>
        </is>
      </c>
      <c r="G57" t="inlineStr">
        <is>
          <t>SIMRISHAMN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20950-2023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45061</v>
      </c>
      <c r="E58" s="1" t="n">
        <v>46254</v>
      </c>
      <c r="F58" t="inlineStr">
        <is>
          <t>SKÅNE LÄN</t>
        </is>
      </c>
      <c r="G58" t="inlineStr">
        <is>
          <t>SIMRISHAMN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53978-2022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46254</v>
      </c>
      <c r="F59" t="inlineStr">
        <is>
          <t>SKÅNE LÄN</t>
        </is>
      </c>
      <c r="G59" t="inlineStr">
        <is>
          <t>SIMRISHAMN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40584-2024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45555</v>
      </c>
      <c r="E60" s="1" t="n">
        <v>46254</v>
      </c>
      <c r="F60" t="inlineStr">
        <is>
          <t>SKÅNE LÄN</t>
        </is>
      </c>
      <c r="G60" t="inlineStr">
        <is>
          <t>SIMRISHAMN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45429</v>
      </c>
      <c r="E61" s="1" t="n">
        <v>46254</v>
      </c>
      <c r="F61" t="inlineStr">
        <is>
          <t>SKÅNE LÄN</t>
        </is>
      </c>
      <c r="G61" t="inlineStr">
        <is>
          <t>SIMRISHAMN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18005-2026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46125</v>
      </c>
      <c r="E62" s="1" t="n">
        <v>46254</v>
      </c>
      <c r="F62" t="inlineStr">
        <is>
          <t>SKÅNE LÄN</t>
        </is>
      </c>
      <c r="G62" t="inlineStr">
        <is>
          <t>SIMRISHAMN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28269-2025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45818</v>
      </c>
      <c r="E63" s="1" t="n">
        <v>46254</v>
      </c>
      <c r="F63" t="inlineStr">
        <is>
          <t>SKÅNE LÄN</t>
        </is>
      </c>
      <c r="G63" t="inlineStr">
        <is>
          <t>SIMRISHAMN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45498</v>
      </c>
      <c r="E64" s="1" t="n">
        <v>46254</v>
      </c>
      <c r="F64" t="inlineStr">
        <is>
          <t>SKÅNE LÄN</t>
        </is>
      </c>
      <c r="G64" t="inlineStr">
        <is>
          <t>SIMRISHAMN</t>
        </is>
      </c>
      <c r="H64" t="inlineStr">
        <is>
          <t>Övriga Aktiebolag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58985-2022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44903</v>
      </c>
      <c r="E65" s="1" t="n">
        <v>46254</v>
      </c>
      <c r="F65" t="inlineStr">
        <is>
          <t>SKÅNE LÄN</t>
        </is>
      </c>
      <c r="G65" t="inlineStr">
        <is>
          <t>SIMRISHAMN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45569</v>
      </c>
      <c r="E66" s="1" t="n">
        <v>46254</v>
      </c>
      <c r="F66" t="inlineStr">
        <is>
          <t>SKÅNE LÄN</t>
        </is>
      </c>
      <c r="G66" t="inlineStr">
        <is>
          <t>SIMRISHAMN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55504-2025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45971</v>
      </c>
      <c r="E67" s="1" t="n">
        <v>46254</v>
      </c>
      <c r="F67" t="inlineStr">
        <is>
          <t>SKÅNE LÄN</t>
        </is>
      </c>
      <c r="G67" t="inlineStr">
        <is>
          <t>SIMRISHAMN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14103-2024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45392</v>
      </c>
      <c r="E68" s="1" t="n">
        <v>46254</v>
      </c>
      <c r="F68" t="inlineStr">
        <is>
          <t>SKÅNE LÄN</t>
        </is>
      </c>
      <c r="G68" t="inlineStr">
        <is>
          <t>SIMRISHAMN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44657</v>
      </c>
      <c r="E69" s="1" t="n">
        <v>46254</v>
      </c>
      <c r="F69" t="inlineStr">
        <is>
          <t>SKÅNE LÄN</t>
        </is>
      </c>
      <c r="G69" t="inlineStr">
        <is>
          <t>SIMRISHAMN</t>
        </is>
      </c>
      <c r="H69" t="inlineStr">
        <is>
          <t>Övriga Aktiebolag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45348</v>
      </c>
      <c r="E70" s="1" t="n">
        <v>46254</v>
      </c>
      <c r="F70" t="inlineStr">
        <is>
          <t>SKÅNE LÄN</t>
        </is>
      </c>
      <c r="G70" t="inlineStr">
        <is>
          <t>SIMRISHAMN</t>
        </is>
      </c>
      <c r="I70" t="n">
        <v>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18682-2023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45043</v>
      </c>
      <c r="E71" s="1" t="n">
        <v>46254</v>
      </c>
      <c r="F71" t="inlineStr">
        <is>
          <t>SKÅNE LÄN</t>
        </is>
      </c>
      <c r="G71" t="inlineStr">
        <is>
          <t>SIMRISHAMN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60059-2025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45993</v>
      </c>
      <c r="E72" s="1" t="n">
        <v>46254</v>
      </c>
      <c r="F72" t="inlineStr">
        <is>
          <t>SKÅNE LÄN</t>
        </is>
      </c>
      <c r="G72" t="inlineStr">
        <is>
          <t>SIMRISHAMN</t>
        </is>
      </c>
      <c r="H72" t="inlineStr">
        <is>
          <t>Övriga Aktiebolag</t>
        </is>
      </c>
      <c r="I72" t="n">
        <v>7.8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45318</v>
      </c>
      <c r="E73" s="1" t="n">
        <v>46254</v>
      </c>
      <c r="F73" t="inlineStr">
        <is>
          <t>SKÅNE LÄN</t>
        </is>
      </c>
      <c r="G73" t="inlineStr">
        <is>
          <t>SIMRISHAMN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45162</v>
      </c>
      <c r="E74" s="1" t="n">
        <v>46254</v>
      </c>
      <c r="F74" t="inlineStr">
        <is>
          <t>SKÅNE LÄN</t>
        </is>
      </c>
      <c r="G74" t="inlineStr">
        <is>
          <t>SIMRISHAMN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44720</v>
      </c>
      <c r="E75" s="1" t="n">
        <v>46254</v>
      </c>
      <c r="F75" t="inlineStr">
        <is>
          <t>SKÅNE LÄN</t>
        </is>
      </c>
      <c r="G75" t="inlineStr">
        <is>
          <t>SIMRISHAMN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17102-2025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45755</v>
      </c>
      <c r="E76" s="1" t="n">
        <v>46254</v>
      </c>
      <c r="F76" t="inlineStr">
        <is>
          <t>SKÅNE LÄN</t>
        </is>
      </c>
      <c r="G76" t="inlineStr">
        <is>
          <t>SIMRISHAMN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35692-2024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45532</v>
      </c>
      <c r="E77" s="1" t="n">
        <v>46254</v>
      </c>
      <c r="F77" t="inlineStr">
        <is>
          <t>SKÅNE LÄN</t>
        </is>
      </c>
      <c r="G77" t="inlineStr">
        <is>
          <t>SIMRISHAMN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45320</v>
      </c>
      <c r="E78" s="1" t="n">
        <v>46254</v>
      </c>
      <c r="F78" t="inlineStr">
        <is>
          <t>SKÅNE LÄN</t>
        </is>
      </c>
      <c r="G78" t="inlineStr">
        <is>
          <t>SIMRISHAMN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62413-2022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44923</v>
      </c>
      <c r="E79" s="1" t="n">
        <v>46254</v>
      </c>
      <c r="F79" t="inlineStr">
        <is>
          <t>SKÅNE LÄN</t>
        </is>
      </c>
      <c r="G79" t="inlineStr">
        <is>
          <t>SIMRISHAMN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20096-2024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45434</v>
      </c>
      <c r="E80" s="1" t="n">
        <v>46254</v>
      </c>
      <c r="F80" t="inlineStr">
        <is>
          <t>SKÅNE LÄN</t>
        </is>
      </c>
      <c r="G80" t="inlineStr">
        <is>
          <t>SIMRISHAMN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46035</v>
      </c>
      <c r="E81" s="1" t="n">
        <v>46254</v>
      </c>
      <c r="F81" t="inlineStr">
        <is>
          <t>SKÅNE LÄN</t>
        </is>
      </c>
      <c r="G81" t="inlineStr">
        <is>
          <t>SIMRISHAMN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46254</v>
      </c>
      <c r="F82" t="inlineStr">
        <is>
          <t>SKÅNE LÄN</t>
        </is>
      </c>
      <c r="G82" t="inlineStr">
        <is>
          <t>SIMRISHAMN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46254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5224-2024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45330</v>
      </c>
      <c r="E84" s="1" t="n">
        <v>46254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18.4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45089</v>
      </c>
      <c r="E85" s="1" t="n">
        <v>46254</v>
      </c>
      <c r="F85" t="inlineStr">
        <is>
          <t>SKÅNE LÄN</t>
        </is>
      </c>
      <c r="G85" t="inlineStr">
        <is>
          <t>SIMRISHAMN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45426</v>
      </c>
      <c r="E86" s="1" t="n">
        <v>46254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45399</v>
      </c>
      <c r="E87" s="1" t="n">
        <v>46254</v>
      </c>
      <c r="F87" t="inlineStr">
        <is>
          <t>SKÅNE LÄN</t>
        </is>
      </c>
      <c r="G87" t="inlineStr">
        <is>
          <t>SIMRISHAMN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17110-2025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45755</v>
      </c>
      <c r="E88" s="1" t="n">
        <v>46254</v>
      </c>
      <c r="F88" t="inlineStr">
        <is>
          <t>SKÅNE LÄN</t>
        </is>
      </c>
      <c r="G88" t="inlineStr">
        <is>
          <t>SIMRISHAMN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45092</v>
      </c>
      <c r="E89" s="1" t="n">
        <v>46254</v>
      </c>
      <c r="F89" t="inlineStr">
        <is>
          <t>SKÅNE LÄN</t>
        </is>
      </c>
      <c r="G89" t="inlineStr">
        <is>
          <t>SIMRISHAMN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45318</v>
      </c>
      <c r="E90" s="1" t="n">
        <v>46254</v>
      </c>
      <c r="F90" t="inlineStr">
        <is>
          <t>SKÅNE LÄN</t>
        </is>
      </c>
      <c r="G90" t="inlineStr">
        <is>
          <t>SIMRISHAMN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45162</v>
      </c>
      <c r="E91" s="1" t="n">
        <v>46254</v>
      </c>
      <c r="F91" t="inlineStr">
        <is>
          <t>SKÅNE LÄN</t>
        </is>
      </c>
      <c r="G91" t="inlineStr">
        <is>
          <t>SIMRISHAMN</t>
        </is>
      </c>
      <c r="I91" t="n">
        <v>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56820-2024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45628</v>
      </c>
      <c r="E92" s="1" t="n">
        <v>46254</v>
      </c>
      <c r="F92" t="inlineStr">
        <is>
          <t>SKÅNE LÄN</t>
        </is>
      </c>
      <c r="G92" t="inlineStr">
        <is>
          <t>SIMRISHAMN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45628</v>
      </c>
      <c r="E93" s="1" t="n">
        <v>46254</v>
      </c>
      <c r="F93" t="inlineStr">
        <is>
          <t>SKÅNE LÄN</t>
        </is>
      </c>
      <c r="G93" t="inlineStr">
        <is>
          <t>SIMRISHAMN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45204</v>
      </c>
      <c r="E94" s="1" t="n">
        <v>46254</v>
      </c>
      <c r="F94" t="inlineStr">
        <is>
          <t>SKÅNE LÄN</t>
        </is>
      </c>
      <c r="G94" t="inlineStr">
        <is>
          <t>SIMRISHAMN</t>
        </is>
      </c>
      <c r="H94" t="inlineStr">
        <is>
          <t>Övriga Aktiebolag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45728</v>
      </c>
      <c r="E95" s="1" t="n">
        <v>46254</v>
      </c>
      <c r="F95" t="inlineStr">
        <is>
          <t>SKÅNE LÄN</t>
        </is>
      </c>
      <c r="G95" t="inlineStr">
        <is>
          <t>SIMRISHAMN</t>
        </is>
      </c>
      <c r="H95" t="inlineStr">
        <is>
          <t>Övriga Aktiebolag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6830-2025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45700</v>
      </c>
      <c r="E96" s="1" t="n">
        <v>46254</v>
      </c>
      <c r="F96" t="inlineStr">
        <is>
          <t>SKÅNE LÄN</t>
        </is>
      </c>
      <c r="G96" t="inlineStr">
        <is>
          <t>SIMRISHAMN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46254</v>
      </c>
      <c r="F97" t="inlineStr">
        <is>
          <t>SKÅNE LÄN</t>
        </is>
      </c>
      <c r="G97" t="inlineStr">
        <is>
          <t>SIMRISHAMN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2097-2025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45842</v>
      </c>
      <c r="E98" s="1" t="n">
        <v>46254</v>
      </c>
      <c r="F98" t="inlineStr">
        <is>
          <t>SKÅNE LÄN</t>
        </is>
      </c>
      <c r="G98" t="inlineStr">
        <is>
          <t>SIMRISHAMN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458-2026</t>
        </is>
      </c>
      <c r="B99" t="inlineStr">
        <is>
          <t>samrådsanmälan</t>
        </is>
      </c>
      <c r="C99" t="inlineStr">
        <is>
          <t>Askåterföring</t>
        </is>
      </c>
      <c r="D99" s="1" t="n">
        <v>46073</v>
      </c>
      <c r="E99" s="1" t="n">
        <v>46254</v>
      </c>
      <c r="F99" t="inlineStr">
        <is>
          <t>SKÅNE LÄN</t>
        </is>
      </c>
      <c r="G99" t="inlineStr">
        <is>
          <t>SIMRISHAMN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2026-08-20T01:47:40Z</dcterms:created>
  <dcterms:modified xmlns:dcterms="http://purl.org/dc/terms/" xmlns:xsi="http://www.w3.org/2001/XMLSchema-instance" xsi:type="dcterms:W3CDTF">2026-08-20T01:47:41Z</dcterms:modified>
</cp:coreProperties>
</file>