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46251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46251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46251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46251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46251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46251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46251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46251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22194-2023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46251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11.4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Sandödla</t>
        </is>
      </c>
      <c r="W16">
        <f>HYPERLINK("https://klasma.github.io/Logging_1291/artfynd/A 22194-2023 artfynd.xlsx", "A 22194-2023")</f>
        <v/>
      </c>
      <c r="X16">
        <f>HYPERLINK("https://klasma.github.io/Logging_1291/kartor/A 22194-2023 karta.png", "A 22194-2023")</f>
        <v/>
      </c>
      <c r="Y16">
        <f>HYPERLINK("https://klasma.github.io/Logging_1291/kartor_geotiff/A 22194-2023 georefererad karta.tif", "A 22194-2023")</f>
        <v/>
      </c>
      <c r="AA16">
        <f>HYPERLINK("https://klasma.github.io/Logging_1291/klagomål/A 22194-2023 FSC-klagomål.docx", "A 22194-2023")</f>
        <v/>
      </c>
      <c r="AB16">
        <f>HYPERLINK("https://klasma.github.io/Logging_1291/klagomålsmail/A 22194-2023 FSC-klagomål mail.docx", "A 22194-2023")</f>
        <v/>
      </c>
      <c r="AC16">
        <f>HYPERLINK("https://klasma.github.io/Logging_1291/tillsyn/A 22194-2023 tillsynsbegäran.docx", "A 22194-2023")</f>
        <v/>
      </c>
      <c r="AD16">
        <f>HYPERLINK("https://klasma.github.io/Logging_1291/tillsynsmail/A 22194-2023 tillsynsbegäran mail.docx", "A 22194-2023")</f>
        <v/>
      </c>
    </row>
    <row r="17" ht="15" customHeight="1">
      <c r="A17" t="inlineStr">
        <is>
          <t>A 16258-2024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45407</v>
      </c>
      <c r="E17" s="1" t="n">
        <v>46251</v>
      </c>
      <c r="F17" t="inlineStr">
        <is>
          <t>SKÅNE LÄN</t>
        </is>
      </c>
      <c r="G17" t="inlineStr">
        <is>
          <t>SIMRISHAMN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16258-2024 artfynd.xlsx", "A 16258-2024")</f>
        <v/>
      </c>
      <c r="X17">
        <f>HYPERLINK("https://klasma.github.io/Logging_1291/kartor/A 16258-2024 karta.png", "A 16258-2024")</f>
        <v/>
      </c>
      <c r="Y17">
        <f>HYPERLINK("https://klasma.github.io/Logging_1291/kartor_geotiff/A 16258-2024 georefererad karta.tif", "A 16258-2024")</f>
        <v/>
      </c>
      <c r="AA17">
        <f>HYPERLINK("https://klasma.github.io/Logging_1291/klagomål/A 16258-2024 FSC-klagomål.docx", "A 16258-2024")</f>
        <v/>
      </c>
      <c r="AB17">
        <f>HYPERLINK("https://klasma.github.io/Logging_1291/klagomålsmail/A 16258-2024 FSC-klagomål mail.docx", "A 16258-2024")</f>
        <v/>
      </c>
      <c r="AC17">
        <f>HYPERLINK("https://klasma.github.io/Logging_1291/tillsyn/A 16258-2024 tillsynsbegäran.docx", "A 16258-2024")</f>
        <v/>
      </c>
      <c r="AD17">
        <f>HYPERLINK("https://klasma.github.io/Logging_1291/tillsynsmail/A 16258-2024 tillsynsbegäran mail.docx", "A 16258-2024")</f>
        <v/>
      </c>
    </row>
    <row r="18" ht="15" customHeight="1">
      <c r="A18" t="inlineStr">
        <is>
          <t>A 7082-2024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46251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22.7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Småvänderot</t>
        </is>
      </c>
      <c r="W18">
        <f>HYPERLINK("https://klasma.github.io/Logging_1291/artfynd/A 7082-2024 artfynd.xlsx", "A 7082-2024")</f>
        <v/>
      </c>
      <c r="X18">
        <f>HYPERLINK("https://klasma.github.io/Logging_1291/kartor/A 7082-2024 karta.png", "A 7082-2024")</f>
        <v/>
      </c>
      <c r="Y18">
        <f>HYPERLINK("https://klasma.github.io/Logging_1291/kartor_geotiff/A 7082-2024 georefererad karta.tif", "A 7082-2024")</f>
        <v/>
      </c>
      <c r="AA18">
        <f>HYPERLINK("https://klasma.github.io/Logging_1291/klagomål/A 7082-2024 FSC-klagomål.docx", "A 7082-2024")</f>
        <v/>
      </c>
      <c r="AB18">
        <f>HYPERLINK("https://klasma.github.io/Logging_1291/klagomålsmail/A 7082-2024 FSC-klagomål mail.docx", "A 7082-2024")</f>
        <v/>
      </c>
      <c r="AC18">
        <f>HYPERLINK("https://klasma.github.io/Logging_1291/tillsyn/A 7082-2024 tillsynsbegäran.docx", "A 7082-2024")</f>
        <v/>
      </c>
      <c r="AD18">
        <f>HYPERLINK("https://klasma.github.io/Logging_1291/tillsynsmail/A 7082-2024 tillsynsbegäran mail.docx", "A 7082-2024")</f>
        <v/>
      </c>
    </row>
    <row r="19" ht="15" customHeight="1">
      <c r="A19" t="inlineStr">
        <is>
          <t>A 20090-2024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46251</v>
      </c>
      <c r="F19" t="inlineStr">
        <is>
          <t>SKÅNE LÄN</t>
        </is>
      </c>
      <c r="G19" t="inlineStr">
        <is>
          <t>SIMRISHAMN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20090-2024 artfynd.xlsx", "A 20090-2024")</f>
        <v/>
      </c>
      <c r="X19">
        <f>HYPERLINK("https://klasma.github.io/Logging_1291/kartor/A 20090-2024 karta.png", "A 20090-2024")</f>
        <v/>
      </c>
      <c r="Y19">
        <f>HYPERLINK("https://klasma.github.io/Logging_1291/kartor_geotiff/A 20090-2024 georefererad karta.tif", "A 20090-2024")</f>
        <v/>
      </c>
      <c r="AA19">
        <f>HYPERLINK("https://klasma.github.io/Logging_1291/klagomål/A 20090-2024 FSC-klagomål.docx", "A 20090-2024")</f>
        <v/>
      </c>
      <c r="AB19">
        <f>HYPERLINK("https://klasma.github.io/Logging_1291/klagomålsmail/A 20090-2024 FSC-klagomål mail.docx", "A 20090-2024")</f>
        <v/>
      </c>
      <c r="AC19">
        <f>HYPERLINK("https://klasma.github.io/Logging_1291/tillsyn/A 20090-2024 tillsynsbegäran.docx", "A 20090-2024")</f>
        <v/>
      </c>
      <c r="AD19">
        <f>HYPERLINK("https://klasma.github.io/Logging_1291/tillsynsmail/A 20090-2024 tillsynsbegäran mail.docx", "A 20090-2024")</f>
        <v/>
      </c>
    </row>
    <row r="20" ht="15" customHeight="1">
      <c r="A20" t="inlineStr">
        <is>
          <t>A 50134-2024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46251</v>
      </c>
      <c r="F20" t="inlineStr">
        <is>
          <t>SKÅNE LÄN</t>
        </is>
      </c>
      <c r="G20" t="inlineStr">
        <is>
          <t>SIMRISHAMN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50134-2024 artfynd.xlsx", "A 50134-2024")</f>
        <v/>
      </c>
      <c r="X20">
        <f>HYPERLINK("https://klasma.github.io/Logging_1291/kartor/A 50134-2024 karta.png", "A 50134-2024")</f>
        <v/>
      </c>
      <c r="Y20">
        <f>HYPERLINK("https://klasma.github.io/Logging_1291/kartor_geotiff/A 50134-2024 georefererad karta.tif", "A 50134-2024")</f>
        <v/>
      </c>
      <c r="AA20">
        <f>HYPERLINK("https://klasma.github.io/Logging_1291/klagomål/A 50134-2024 FSC-klagomål.docx", "A 50134-2024")</f>
        <v/>
      </c>
      <c r="AB20">
        <f>HYPERLINK("https://klasma.github.io/Logging_1291/klagomålsmail/A 50134-2024 FSC-klagomål mail.docx", "A 50134-2024")</f>
        <v/>
      </c>
      <c r="AC20">
        <f>HYPERLINK("https://klasma.github.io/Logging_1291/tillsyn/A 50134-2024 tillsynsbegäran.docx", "A 50134-2024")</f>
        <v/>
      </c>
      <c r="AD20">
        <f>HYPERLINK("https://klasma.github.io/Logging_1291/tillsynsmail/A 50134-2024 tillsynsbegäran mail.docx", "A 50134-2024")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46251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HYPERLINK("https://klasma.github.io/Logging_1291/artfynd/A 26510-2026 artfynd.xlsx", "A 26510-2026")</f>
        <v/>
      </c>
      <c r="X21">
        <f>HYPERLINK("https://klasma.github.io/Logging_1291/kartor/A 26510-2026 karta.png", "A 26510-2026")</f>
        <v/>
      </c>
      <c r="Y21">
        <f>HYPERLINK("https://klasma.github.io/Logging_1291/kartor_geotiff/A 26510-2026 georefererad karta.tif", "A 26510-2026")</f>
        <v/>
      </c>
      <c r="AA21">
        <f>HYPERLINK("https://klasma.github.io/Logging_1291/klagomål/A 26510-2026 FSC-klagomål.docx", "A 26510-2026")</f>
        <v/>
      </c>
      <c r="AB21">
        <f>HYPERLINK("https://klasma.github.io/Logging_1291/klagomålsmail/A 26510-2026 FSC-klagomål mail.docx", "A 26510-2026")</f>
        <v/>
      </c>
      <c r="AC21">
        <f>HYPERLINK("https://klasma.github.io/Logging_1291/tillsyn/A 26510-2026 tillsynsbegäran.docx", "A 26510-2026")</f>
        <v/>
      </c>
      <c r="AD21">
        <f>HYPERLINK("https://klasma.github.io/Logging_1291/tillsynsmail/A 26510-2026 tillsynsbegäran mail.docx", "A 26510-2026")</f>
        <v/>
      </c>
    </row>
    <row r="22" ht="15" customHeight="1">
      <c r="A22" t="inlineStr">
        <is>
          <t>A 3401-2024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45318</v>
      </c>
      <c r="E22" s="1" t="n">
        <v>46251</v>
      </c>
      <c r="F22" t="inlineStr">
        <is>
          <t>SKÅNE LÄN</t>
        </is>
      </c>
      <c r="G22" t="inlineStr">
        <is>
          <t>SIMRISHAMN</t>
        </is>
      </c>
      <c r="I22" t="n">
        <v>6.8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HYPERLINK("https://klasma.github.io/Logging_1291/artfynd/A 3401-2024 artfynd.xlsx", "A 3401-2024")</f>
        <v/>
      </c>
      <c r="X22">
        <f>HYPERLINK("https://klasma.github.io/Logging_1291/kartor/A 3401-2024 karta.png", "A 3401-2024")</f>
        <v/>
      </c>
      <c r="Y22">
        <f>HYPERLINK("https://klasma.github.io/Logging_1291/kartor_geotiff/A 3401-2024 georefererad karta.tif", "A 3401-2024")</f>
        <v/>
      </c>
      <c r="AA22">
        <f>HYPERLINK("https://klasma.github.io/Logging_1291/klagomål/A 3401-2024 FSC-klagomål.docx", "A 3401-2024")</f>
        <v/>
      </c>
      <c r="AB22">
        <f>HYPERLINK("https://klasma.github.io/Logging_1291/klagomålsmail/A 3401-2024 FSC-klagomål mail.docx", "A 3401-2024")</f>
        <v/>
      </c>
      <c r="AC22">
        <f>HYPERLINK("https://klasma.github.io/Logging_1291/tillsyn/A 3401-2024 tillsynsbegäran.docx", "A 3401-2024")</f>
        <v/>
      </c>
      <c r="AD22">
        <f>HYPERLINK("https://klasma.github.io/Logging_1291/tillsynsmail/A 3401-2024 tillsynsbegäran mail.docx", "A 3401-2024")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46251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46251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46251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23287-2022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44720</v>
      </c>
      <c r="E26" s="1" t="n">
        <v>46251</v>
      </c>
      <c r="F26" t="inlineStr">
        <is>
          <t>SKÅNE LÄN</t>
        </is>
      </c>
      <c r="G26" t="inlineStr">
        <is>
          <t>SIMRISHAMN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46251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17110-2025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45755</v>
      </c>
      <c r="E28" s="1" t="n">
        <v>46251</v>
      </c>
      <c r="F28" t="inlineStr">
        <is>
          <t>SKÅNE LÄN</t>
        </is>
      </c>
      <c r="G28" t="inlineStr">
        <is>
          <t>SIMRISHAMN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46251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46251</v>
      </c>
      <c r="F30" t="inlineStr">
        <is>
          <t>SKÅNE LÄN</t>
        </is>
      </c>
      <c r="G30" t="inlineStr">
        <is>
          <t>SIMRISHAMN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45329</v>
      </c>
      <c r="E31" s="1" t="n">
        <v>46251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46251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40584-2024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45555</v>
      </c>
      <c r="E33" s="1" t="n">
        <v>46251</v>
      </c>
      <c r="F33" t="inlineStr">
        <is>
          <t>SKÅNE LÄN</t>
        </is>
      </c>
      <c r="G33" t="inlineStr">
        <is>
          <t>SIMRISHAMN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46251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30911-2024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45498</v>
      </c>
      <c r="E35" s="1" t="n">
        <v>46251</v>
      </c>
      <c r="F35" t="inlineStr">
        <is>
          <t>SKÅNE LÄN</t>
        </is>
      </c>
      <c r="G35" t="inlineStr">
        <is>
          <t>SIMRISHAMN</t>
        </is>
      </c>
      <c r="H35" t="inlineStr">
        <is>
          <t>Övriga Aktiebolag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46251</v>
      </c>
      <c r="F36" t="inlineStr">
        <is>
          <t>SKÅNE LÄN</t>
        </is>
      </c>
      <c r="G36" t="inlineStr">
        <is>
          <t>SIMRISHAMN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45399</v>
      </c>
      <c r="E37" s="1" t="n">
        <v>46251</v>
      </c>
      <c r="F37" t="inlineStr">
        <is>
          <t>SKÅNE LÄN</t>
        </is>
      </c>
      <c r="G37" t="inlineStr">
        <is>
          <t>SIMRISHAMN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46251</v>
      </c>
      <c r="F38" t="inlineStr">
        <is>
          <t>SKÅNE LÄN</t>
        </is>
      </c>
      <c r="G38" t="inlineStr">
        <is>
          <t>SIMRISHAMN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39221-2023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46251</v>
      </c>
      <c r="F39" t="inlineStr">
        <is>
          <t>SKÅNE LÄN</t>
        </is>
      </c>
      <c r="G39" t="inlineStr">
        <is>
          <t>SIMRISHAMN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45343</v>
      </c>
      <c r="E40" s="1" t="n">
        <v>46251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45320</v>
      </c>
      <c r="E41" s="1" t="n">
        <v>46251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46251</v>
      </c>
      <c r="F42" t="inlineStr">
        <is>
          <t>SKÅNE LÄN</t>
        </is>
      </c>
      <c r="G42" t="inlineStr">
        <is>
          <t>SIMRISHAMN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61876-2024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45652</v>
      </c>
      <c r="E43" s="1" t="n">
        <v>46251</v>
      </c>
      <c r="F43" t="inlineStr">
        <is>
          <t>SKÅNE LÄN</t>
        </is>
      </c>
      <c r="G43" t="inlineStr">
        <is>
          <t>SIMRISHAMN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45318</v>
      </c>
      <c r="E44" s="1" t="n">
        <v>46251</v>
      </c>
      <c r="F44" t="inlineStr">
        <is>
          <t>SKÅNE LÄN</t>
        </is>
      </c>
      <c r="G44" t="inlineStr">
        <is>
          <t>SIMRISHAMN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46251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56820-2024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45628</v>
      </c>
      <c r="E46" s="1" t="n">
        <v>46251</v>
      </c>
      <c r="F46" t="inlineStr">
        <is>
          <t>SKÅNE LÄN</t>
        </is>
      </c>
      <c r="G46" t="inlineStr">
        <is>
          <t>SIMRISHAMN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58985-2022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44903</v>
      </c>
      <c r="E47" s="1" t="n">
        <v>46251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46251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55504-2025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46251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14994-2022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44657</v>
      </c>
      <c r="E50" s="1" t="n">
        <v>46251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46251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44923</v>
      </c>
      <c r="E52" s="1" t="n">
        <v>46251</v>
      </c>
      <c r="F52" t="inlineStr">
        <is>
          <t>SKÅNE LÄN</t>
        </is>
      </c>
      <c r="G52" t="inlineStr">
        <is>
          <t>SIMRISHAMN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46251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63456-2023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46251</v>
      </c>
      <c r="F54" t="inlineStr">
        <is>
          <t>SKÅNE LÄN</t>
        </is>
      </c>
      <c r="G54" t="inlineStr">
        <is>
          <t>SIMRISHAMN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53978-2022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44876</v>
      </c>
      <c r="E55" s="1" t="n">
        <v>46251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46251</v>
      </c>
      <c r="F56" t="inlineStr">
        <is>
          <t>SKÅNE LÄN</t>
        </is>
      </c>
      <c r="G56" t="inlineStr">
        <is>
          <t>SIMRISHAMN</t>
        </is>
      </c>
      <c r="H56" t="inlineStr">
        <is>
          <t>Övriga Aktiebolag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45838</v>
      </c>
      <c r="E57" s="1" t="n">
        <v>46251</v>
      </c>
      <c r="F57" t="inlineStr">
        <is>
          <t>SKÅNE LÄN</t>
        </is>
      </c>
      <c r="G57" t="inlineStr">
        <is>
          <t>SIMRISHAMN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46251</v>
      </c>
      <c r="F58" t="inlineStr">
        <is>
          <t>SKÅNE LÄN</t>
        </is>
      </c>
      <c r="G58" t="inlineStr">
        <is>
          <t>SIMRISHAMN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45320</v>
      </c>
      <c r="E59" s="1" t="n">
        <v>46251</v>
      </c>
      <c r="F59" t="inlineStr">
        <is>
          <t>SKÅNE LÄN</t>
        </is>
      </c>
      <c r="G59" t="inlineStr">
        <is>
          <t>SIMRISHAMN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44943</v>
      </c>
      <c r="E60" s="1" t="n">
        <v>46251</v>
      </c>
      <c r="F60" t="inlineStr">
        <is>
          <t>SKÅNE LÄN</t>
        </is>
      </c>
      <c r="G60" t="inlineStr">
        <is>
          <t>SIMRISHAMN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45572</v>
      </c>
      <c r="E61" s="1" t="n">
        <v>46251</v>
      </c>
      <c r="F61" t="inlineStr">
        <is>
          <t>SKÅNE LÄN</t>
        </is>
      </c>
      <c r="G61" t="inlineStr">
        <is>
          <t>SIMRISHAMN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46251</v>
      </c>
      <c r="F62" t="inlineStr">
        <is>
          <t>SKÅNE LÄN</t>
        </is>
      </c>
      <c r="G62" t="inlineStr">
        <is>
          <t>SIMRISHAMN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46251</v>
      </c>
      <c r="F63" t="inlineStr">
        <is>
          <t>SKÅNE LÄN</t>
        </is>
      </c>
      <c r="G63" t="inlineStr">
        <is>
          <t>SIMRISHAMN</t>
        </is>
      </c>
      <c r="I63" t="n">
        <v>14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46251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18682-2023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45043</v>
      </c>
      <c r="E65" s="1" t="n">
        <v>46251</v>
      </c>
      <c r="F65" t="inlineStr">
        <is>
          <t>SKÅNE LÄN</t>
        </is>
      </c>
      <c r="G65" t="inlineStr">
        <is>
          <t>SIMRISHAMN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46035</v>
      </c>
      <c r="E66" s="1" t="n">
        <v>46251</v>
      </c>
      <c r="F66" t="inlineStr">
        <is>
          <t>SKÅNE LÄN</t>
        </is>
      </c>
      <c r="G66" t="inlineStr">
        <is>
          <t>SIMRISHAMN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46251</v>
      </c>
      <c r="F67" t="inlineStr">
        <is>
          <t>SKÅNE LÄN</t>
        </is>
      </c>
      <c r="G67" t="inlineStr">
        <is>
          <t>SIMRISHAMN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46251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46251</v>
      </c>
      <c r="F69" t="inlineStr">
        <is>
          <t>SKÅNE LÄN</t>
        </is>
      </c>
      <c r="G69" t="inlineStr">
        <is>
          <t>SIMRISHAMN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46251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45547</v>
      </c>
      <c r="E71" s="1" t="n">
        <v>46251</v>
      </c>
      <c r="F71" t="inlineStr">
        <is>
          <t>SKÅNE LÄN</t>
        </is>
      </c>
      <c r="G71" t="inlineStr">
        <is>
          <t>SIMRISHAMN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45429</v>
      </c>
      <c r="E72" s="1" t="n">
        <v>46251</v>
      </c>
      <c r="F72" t="inlineStr">
        <is>
          <t>SKÅNE LÄN</t>
        </is>
      </c>
      <c r="G72" t="inlineStr">
        <is>
          <t>SIMRISHAMN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46251</v>
      </c>
      <c r="F73" t="inlineStr">
        <is>
          <t>SKÅNE LÄN</t>
        </is>
      </c>
      <c r="G73" t="inlineStr">
        <is>
          <t>SIMRISHAMN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45392</v>
      </c>
      <c r="E74" s="1" t="n">
        <v>46251</v>
      </c>
      <c r="F74" t="inlineStr">
        <is>
          <t>SKÅNE LÄN</t>
        </is>
      </c>
      <c r="G74" t="inlineStr">
        <is>
          <t>SIMRISHAMN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46251</v>
      </c>
      <c r="F75" t="inlineStr">
        <is>
          <t>SKÅNE LÄN</t>
        </is>
      </c>
      <c r="G75" t="inlineStr">
        <is>
          <t>SIMRISHAMN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46251</v>
      </c>
      <c r="F76" t="inlineStr">
        <is>
          <t>SKÅNE LÄN</t>
        </is>
      </c>
      <c r="G76" t="inlineStr">
        <is>
          <t>SIMRISHAMN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46251</v>
      </c>
      <c r="F77" t="inlineStr">
        <is>
          <t>SKÅNE LÄN</t>
        </is>
      </c>
      <c r="G77" t="inlineStr">
        <is>
          <t>SIMRISHAMN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46251</v>
      </c>
      <c r="F78" t="inlineStr">
        <is>
          <t>SKÅNE LÄN</t>
        </is>
      </c>
      <c r="G78" t="inlineStr">
        <is>
          <t>SIMRISHAMN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46251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45348</v>
      </c>
      <c r="E80" s="1" t="n">
        <v>46251</v>
      </c>
      <c r="F80" t="inlineStr">
        <is>
          <t>SKÅNE LÄN</t>
        </is>
      </c>
      <c r="G80" t="inlineStr">
        <is>
          <t>SIMRISHAMN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46251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46251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45318</v>
      </c>
      <c r="E83" s="1" t="n">
        <v>46251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46251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46251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46251</v>
      </c>
      <c r="F86" t="inlineStr">
        <is>
          <t>SKÅNE LÄN</t>
        </is>
      </c>
      <c r="G86" t="inlineStr">
        <is>
          <t>SIMRISHAMN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46251</v>
      </c>
      <c r="F87" t="inlineStr">
        <is>
          <t>SKÅNE LÄN</t>
        </is>
      </c>
      <c r="G87" t="inlineStr">
        <is>
          <t>SIMRISHAMN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20950-2023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45061</v>
      </c>
      <c r="E88" s="1" t="n">
        <v>46251</v>
      </c>
      <c r="F88" t="inlineStr">
        <is>
          <t>SKÅNE LÄN</t>
        </is>
      </c>
      <c r="G88" t="inlineStr">
        <is>
          <t>SIMRISHAMN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45569</v>
      </c>
      <c r="E89" s="1" t="n">
        <v>46251</v>
      </c>
      <c r="F89" t="inlineStr">
        <is>
          <t>SKÅNE LÄN</t>
        </is>
      </c>
      <c r="G89" t="inlineStr">
        <is>
          <t>SIMRISHAMN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46251</v>
      </c>
      <c r="F90" t="inlineStr">
        <is>
          <t>SKÅNE LÄN</t>
        </is>
      </c>
      <c r="G90" t="inlineStr">
        <is>
          <t>SIMRISHAMN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46251</v>
      </c>
      <c r="F91" t="inlineStr">
        <is>
          <t>SKÅNE LÄN</t>
        </is>
      </c>
      <c r="G91" t="inlineStr">
        <is>
          <t>SIMRISHAMN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46251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45628</v>
      </c>
      <c r="E93" s="1" t="n">
        <v>46251</v>
      </c>
      <c r="F93" t="inlineStr">
        <is>
          <t>SKÅNE LÄN</t>
        </is>
      </c>
      <c r="G93" t="inlineStr">
        <is>
          <t>SIMRISHAMN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46251</v>
      </c>
      <c r="F94" t="inlineStr">
        <is>
          <t>SKÅNE LÄN</t>
        </is>
      </c>
      <c r="G94" t="inlineStr">
        <is>
          <t>SIMRISHAMN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46251</v>
      </c>
      <c r="F95" t="inlineStr">
        <is>
          <t>SKÅNE LÄN</t>
        </is>
      </c>
      <c r="G95" t="inlineStr">
        <is>
          <t>SIMRISHAMN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6830-2025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45700</v>
      </c>
      <c r="E96" s="1" t="n">
        <v>46251</v>
      </c>
      <c r="F96" t="inlineStr">
        <is>
          <t>SKÅNE LÄN</t>
        </is>
      </c>
      <c r="G96" t="inlineStr">
        <is>
          <t>SIMRISHAMN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46251</v>
      </c>
      <c r="F97" t="inlineStr">
        <is>
          <t>SKÅNE LÄN</t>
        </is>
      </c>
      <c r="G97" t="inlineStr">
        <is>
          <t>SIMRISHAMN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46251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46251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2026-08-17T01:48:21Z</dcterms:created>
  <dcterms:modified xmlns:dcterms="http://purl.org/dc/terms/" xmlns:xsi="http://www.w3.org/2001/XMLSchema-instance" xsi:type="dcterms:W3CDTF">2026-08-17T01:48:21Z</dcterms:modified>
</cp:coreProperties>
</file>