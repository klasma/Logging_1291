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46301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46301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46301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46301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17038-2026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46301</v>
      </c>
      <c r="F13" t="inlineStr">
        <is>
          <t>SKÅNE LÄN</t>
        </is>
      </c>
      <c r="G13" t="inlineStr">
        <is>
          <t>SIMRISHAMN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Hasselmus</t>
        </is>
      </c>
      <c r="W13">
        <f>HYPERLINK("https://klasma.github.io/Logging_1291/artfynd/A 17038-2026 artfynd.xlsx", "A 17038-2026")</f>
        <v/>
      </c>
      <c r="X13">
        <f>HYPERLINK("https://klasma.github.io/Logging_1291/kartor/A 17038-2026 karta.png", "A 17038-2026")</f>
        <v/>
      </c>
      <c r="Y13">
        <f>HYPERLINK("https://klasma.github.io/Logging_1291/kartor_geotiff/A 17038-2026 georefererad karta.tif", "A 17038-2026")</f>
        <v/>
      </c>
      <c r="AA13">
        <f>HYPERLINK("https://klasma.github.io/Logging_1291/klagomål/A 17038-2026 FSC-klagomål.docx", "A 17038-2026")</f>
        <v/>
      </c>
      <c r="AB13">
        <f>HYPERLINK("https://klasma.github.io/Logging_1291/klagomålsmail/A 17038-2026 FSC-klagomål mail.docx", "A 17038-2026")</f>
        <v/>
      </c>
      <c r="AC13">
        <f>HYPERLINK("https://klasma.github.io/Logging_1291/tillsyn/A 17038-2026 tillsynsbegäran.docx", "A 17038-2026")</f>
        <v/>
      </c>
      <c r="AD13">
        <f>HYPERLINK("https://klasma.github.io/Logging_1291/tillsynsmail/A 17038-2026 tillsynsbegäran mail.docx", "A 17038-2026")</f>
        <v/>
      </c>
    </row>
    <row r="14" ht="15" customHeight="1">
      <c r="A14" t="inlineStr">
        <is>
          <t>A 17022-2026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46301</v>
      </c>
      <c r="F14" t="inlineStr">
        <is>
          <t>SKÅNE LÄN</t>
        </is>
      </c>
      <c r="G14" t="inlineStr">
        <is>
          <t>SIMRISHAMN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4</v>
      </c>
      <c r="U14" t="n">
        <v>0</v>
      </c>
      <c r="V14" s="2" t="inlineStr">
        <is>
          <t>Hasselmus</t>
        </is>
      </c>
      <c r="W14">
        <f>HYPERLINK("https://klasma.github.io/Logging_1291/artfynd/A 17022-2026 artfynd.xlsx", "A 17022-2026")</f>
        <v/>
      </c>
      <c r="X14">
        <f>HYPERLINK("https://klasma.github.io/Logging_1291/kartor/A 17022-2026 karta.png", "A 17022-2026")</f>
        <v/>
      </c>
      <c r="Y14">
        <f>HYPERLINK("https://klasma.github.io/Logging_1291/kartor_geotiff/A 17022-2026 georefererad karta.tif", "A 17022-2026")</f>
        <v/>
      </c>
      <c r="AA14">
        <f>HYPERLINK("https://klasma.github.io/Logging_1291/klagomål/A 17022-2026 FSC-klagomål.docx", "A 17022-2026")</f>
        <v/>
      </c>
      <c r="AB14">
        <f>HYPERLINK("https://klasma.github.io/Logging_1291/klagomålsmail/A 17022-2026 FSC-klagomål mail.docx", "A 17022-2026")</f>
        <v/>
      </c>
      <c r="AC14">
        <f>HYPERLINK("https://klasma.github.io/Logging_1291/tillsyn/A 17022-2026 tillsynsbegäran.docx", "A 17022-2026")</f>
        <v/>
      </c>
      <c r="AD14">
        <f>HYPERLINK("https://klasma.github.io/Logging_1291/tillsynsmail/A 17022-2026 tillsynsbegäran mail.docx", "A 17022-2026")</f>
        <v/>
      </c>
    </row>
    <row r="15" ht="15" customHeight="1">
      <c r="A15" t="inlineStr">
        <is>
          <t>A 18002-2026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46301</v>
      </c>
      <c r="F15" t="inlineStr">
        <is>
          <t>SKÅNE LÄN</t>
        </is>
      </c>
      <c r="G15" t="inlineStr">
        <is>
          <t>SIMRISHAMN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18002-2026 artfynd.xlsx", "A 18002-2026")</f>
        <v/>
      </c>
      <c r="X15">
        <f>HYPERLINK("https://klasma.github.io/Logging_1291/kartor/A 18002-2026 karta.png", "A 18002-2026")</f>
        <v/>
      </c>
      <c r="Y15">
        <f>HYPERLINK("https://klasma.github.io/Logging_1291/kartor_geotiff/A 18002-2026 georefererad karta.tif", "A 18002-2026")</f>
        <v/>
      </c>
      <c r="AA15">
        <f>HYPERLINK("https://klasma.github.io/Logging_1291/klagomål/A 18002-2026 FSC-klagomål.docx", "A 18002-2026")</f>
        <v/>
      </c>
      <c r="AB15">
        <f>HYPERLINK("https://klasma.github.io/Logging_1291/klagomålsmail/A 18002-2026 FSC-klagomål mail.docx", "A 18002-2026")</f>
        <v/>
      </c>
      <c r="AC15">
        <f>HYPERLINK("https://klasma.github.io/Logging_1291/tillsyn/A 18002-2026 tillsynsbegäran.docx", "A 18002-2026")</f>
        <v/>
      </c>
      <c r="AD15">
        <f>HYPERLINK("https://klasma.github.io/Logging_1291/tillsynsmail/A 18002-2026 tillsynsbegäran mail.docx", "A 18002-2026")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46301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46301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46301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46301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46301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46301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46301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46301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46301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46301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46301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46301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46301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46301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46301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46301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46301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6830-2025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45700</v>
      </c>
      <c r="E37" s="1" t="n">
        <v>46301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46301</v>
      </c>
      <c r="F38" t="inlineStr">
        <is>
          <t>SKÅNE LÄN</t>
        </is>
      </c>
      <c r="G38" t="inlineStr">
        <is>
          <t>SIMRISHAMN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44657</v>
      </c>
      <c r="E39" s="1" t="n">
        <v>46301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46301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46301</v>
      </c>
      <c r="F41" t="inlineStr">
        <is>
          <t>SKÅNE LÄN</t>
        </is>
      </c>
      <c r="G41" t="inlineStr">
        <is>
          <t>SIMRISHAMN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44923</v>
      </c>
      <c r="E42" s="1" t="n">
        <v>46301</v>
      </c>
      <c r="F42" t="inlineStr">
        <is>
          <t>SKÅNE LÄN</t>
        </is>
      </c>
      <c r="G42" t="inlineStr">
        <is>
          <t>SIMRISHAMN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46301</v>
      </c>
      <c r="F43" t="inlineStr">
        <is>
          <t>SKÅNE LÄN</t>
        </is>
      </c>
      <c r="G43" t="inlineStr">
        <is>
          <t>SIMRISHAMN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63456-2023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45273</v>
      </c>
      <c r="E44" s="1" t="n">
        <v>46301</v>
      </c>
      <c r="F44" t="inlineStr">
        <is>
          <t>SKÅNE LÄN</t>
        </is>
      </c>
      <c r="G44" t="inlineStr">
        <is>
          <t>SIMRISHAMN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55504-2025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46301</v>
      </c>
      <c r="F45" t="inlineStr">
        <is>
          <t>SKÅNE LÄN</t>
        </is>
      </c>
      <c r="G45" t="inlineStr">
        <is>
          <t>SIMRISHAMN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14000-2025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46301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46301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46301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46301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46301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46301</v>
      </c>
      <c r="F51" t="inlineStr">
        <is>
          <t>SKÅNE LÄN</t>
        </is>
      </c>
      <c r="G51" t="inlineStr">
        <is>
          <t>SIMRISHAMN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46301</v>
      </c>
      <c r="F52" t="inlineStr">
        <is>
          <t>SKÅNE LÄN</t>
        </is>
      </c>
      <c r="G52" t="inlineStr">
        <is>
          <t>SIMRISHAMN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45429</v>
      </c>
      <c r="E53" s="1" t="n">
        <v>46301</v>
      </c>
      <c r="F53" t="inlineStr">
        <is>
          <t>SKÅNE LÄN</t>
        </is>
      </c>
      <c r="G53" t="inlineStr">
        <is>
          <t>SIMRISHAMN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46301</v>
      </c>
      <c r="F54" t="inlineStr">
        <is>
          <t>SKÅNE LÄN</t>
        </is>
      </c>
      <c r="G54" t="inlineStr">
        <is>
          <t>SIMRISHAMN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46301</v>
      </c>
      <c r="F55" t="inlineStr">
        <is>
          <t>SKÅNE LÄN</t>
        </is>
      </c>
      <c r="G55" t="inlineStr">
        <is>
          <t>SIMRISHAMN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45336</v>
      </c>
      <c r="E56" s="1" t="n">
        <v>46301</v>
      </c>
      <c r="F56" t="inlineStr">
        <is>
          <t>SKÅNE LÄN</t>
        </is>
      </c>
      <c r="G56" t="inlineStr">
        <is>
          <t>SIMRISHAMN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46301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46301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45348</v>
      </c>
      <c r="E59" s="1" t="n">
        <v>46301</v>
      </c>
      <c r="F59" t="inlineStr">
        <is>
          <t>SKÅNE LÄN</t>
        </is>
      </c>
      <c r="G59" t="inlineStr">
        <is>
          <t>SIMRISHAMN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46301</v>
      </c>
      <c r="F60" t="inlineStr">
        <is>
          <t>SKÅNE LÄN</t>
        </is>
      </c>
      <c r="G60" t="inlineStr">
        <is>
          <t>SIMRISHAMN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46301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46301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46301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46301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46301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46301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46301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62316-2025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46006</v>
      </c>
      <c r="E68" s="1" t="n">
        <v>46301</v>
      </c>
      <c r="F68" t="inlineStr">
        <is>
          <t>SKÅNE LÄN</t>
        </is>
      </c>
      <c r="G68" t="inlineStr">
        <is>
          <t>SIMRISHAMN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46301</v>
      </c>
      <c r="F69" t="inlineStr">
        <is>
          <t>SKÅNE LÄN</t>
        </is>
      </c>
      <c r="G69" t="inlineStr">
        <is>
          <t>SIMRISHAMN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46301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56764-2024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45628</v>
      </c>
      <c r="E71" s="1" t="n">
        <v>46301</v>
      </c>
      <c r="F71" t="inlineStr">
        <is>
          <t>SKÅNE LÄN</t>
        </is>
      </c>
      <c r="G71" t="inlineStr">
        <is>
          <t>SIMRISHAMN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45755</v>
      </c>
      <c r="E72" s="1" t="n">
        <v>46301</v>
      </c>
      <c r="F72" t="inlineStr">
        <is>
          <t>SKÅNE LÄN</t>
        </is>
      </c>
      <c r="G72" t="inlineStr">
        <is>
          <t>SIMRISHAMN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44720</v>
      </c>
      <c r="E73" s="1" t="n">
        <v>46301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46125</v>
      </c>
      <c r="E74" s="1" t="n">
        <v>46301</v>
      </c>
      <c r="F74" t="inlineStr">
        <is>
          <t>SKÅNE LÄN</t>
        </is>
      </c>
      <c r="G74" t="inlineStr">
        <is>
          <t>SIMRISHAMN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46301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46301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46301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46301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46301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46301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46301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46301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46301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46301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46301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46301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46301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46301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46301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46301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46301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46301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46301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46301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46301</v>
      </c>
      <c r="F95" t="inlineStr">
        <is>
          <t>SKÅNE LÄN</t>
        </is>
      </c>
      <c r="G95" t="inlineStr">
        <is>
          <t>SIMRISHAMN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46266</v>
      </c>
      <c r="E96" s="1" t="n">
        <v>46301</v>
      </c>
      <c r="F96" t="inlineStr">
        <is>
          <t>SKÅNE LÄN</t>
        </is>
      </c>
      <c r="G96" t="inlineStr">
        <is>
          <t>SIMRISHAMN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46301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46301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46301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46301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46301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2026-10-06T01:52:19Z</dcterms:created>
  <dcterms:modified xmlns:dcterms="http://purl.org/dc/terms/" xmlns:xsi="http://www.w3.org/2001/XMLSchema-instance" xsi:type="dcterms:W3CDTF">2026-10-06T01:52:19Z</dcterms:modified>
</cp:coreProperties>
</file>