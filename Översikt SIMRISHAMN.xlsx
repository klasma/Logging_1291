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t="n">
        <v>5</v>
      </c>
      <c r="V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46225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Lövgroda
Större vattensalamander</t>
        </is>
      </c>
      <c r="W8">
        <f>HYPERLINK("https://klasma.github.io/Logging_1291/artfynd/A 39121-2021 artfynd.xlsx", "A 39121-2021")</f>
        <v/>
      </c>
      <c r="X8">
        <f>HYPERLINK("https://klasma.github.io/Logging_1291/kartor/A 39121-2021 karta.png", "A 39121-2021")</f>
        <v/>
      </c>
      <c r="Y8">
        <f>HYPERLINK("https://klasma.github.io/Logging_1291/kartor_geotiff/A 39121-2021 georefererad karta.tif", "A 39121-2021")</f>
        <v/>
      </c>
      <c r="AA8">
        <f>HYPERLINK("https://klasma.github.io/Logging_1291/klagomål/A 39121-2021 FSC-klagomål.docx", "A 39121-2021")</f>
        <v/>
      </c>
      <c r="AB8">
        <f>HYPERLINK("https://klasma.github.io/Logging_1291/klagomålsmail/A 39121-2021 FSC-klagomål mail.docx", "A 39121-2021")</f>
        <v/>
      </c>
      <c r="AC8">
        <f>HYPERLINK("https://klasma.github.io/Logging_1291/tillsyn/A 39121-2021 tillsynsbegäran.docx", "A 39121-2021")</f>
        <v/>
      </c>
      <c r="AD8">
        <f>HYPERLINK("https://klasma.github.io/Logging_1291/tillsynsmail/A 39121-2021 tillsynsbegäran mail.docx", "A 39121-2021")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46225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46225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951-2024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45301</v>
      </c>
      <c r="E11" s="1" t="n">
        <v>46225</v>
      </c>
      <c r="F11" t="inlineStr">
        <is>
          <t>SKÅNE LÄN</t>
        </is>
      </c>
      <c r="G11" t="inlineStr">
        <is>
          <t>SIMRISHAMN</t>
        </is>
      </c>
      <c r="H11" t="inlineStr">
        <is>
          <t>Övriga Aktiebolag</t>
        </is>
      </c>
      <c r="I11" t="n">
        <v>28.1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Bredbrämad bastardsvärmare
Dvärgpipistrell</t>
        </is>
      </c>
      <c r="W11">
        <f>HYPERLINK("https://klasma.github.io/Logging_1291/artfynd/A 951-2024 artfynd.xlsx", "A 951-2024")</f>
        <v/>
      </c>
      <c r="X11">
        <f>HYPERLINK("https://klasma.github.io/Logging_1291/kartor/A 951-2024 karta.png", "A 951-2024")</f>
        <v/>
      </c>
      <c r="Y11">
        <f>HYPERLINK("https://klasma.github.io/Logging_1291/kartor_geotiff/A 951-2024 georefererad karta.tif", "A 951-2024")</f>
        <v/>
      </c>
      <c r="AA11">
        <f>HYPERLINK("https://klasma.github.io/Logging_1291/klagomål/A 951-2024 FSC-klagomål.docx", "A 951-2024")</f>
        <v/>
      </c>
      <c r="AB11">
        <f>HYPERLINK("https://klasma.github.io/Logging_1291/klagomålsmail/A 951-2024 FSC-klagomål mail.docx", "A 951-2024")</f>
        <v/>
      </c>
      <c r="AC11">
        <f>HYPERLINK("https://klasma.github.io/Logging_1291/tillsyn/A 951-2024 tillsynsbegäran.docx", "A 951-2024")</f>
        <v/>
      </c>
      <c r="AD11">
        <f>HYPERLINK("https://klasma.github.io/Logging_1291/tillsynsmail/A 951-2024 tillsynsbegäran mail.docx", "A 951-2024")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46225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25834-2022 artfynd.xlsx", "A 25834-2022")</f>
        <v/>
      </c>
      <c r="X12">
        <f>HYPERLINK("https://klasma.github.io/Logging_1291/kartor/A 25834-2022 karta.png", "A 25834-2022")</f>
        <v/>
      </c>
      <c r="Y12">
        <f>HYPERLINK("https://klasma.github.io/Logging_1291/kartor_geotiff/A 25834-2022 georefererad karta.tif", "A 25834-2022")</f>
        <v/>
      </c>
      <c r="AA12">
        <f>HYPERLINK("https://klasma.github.io/Logging_1291/klagomål/A 25834-2022 FSC-klagomål.docx", "A 25834-2022")</f>
        <v/>
      </c>
      <c r="AB12">
        <f>HYPERLINK("https://klasma.github.io/Logging_1291/klagomålsmail/A 25834-2022 FSC-klagomål mail.docx", "A 25834-2022")</f>
        <v/>
      </c>
      <c r="AC12">
        <f>HYPERLINK("https://klasma.github.io/Logging_1291/tillsyn/A 25834-2022 tillsynsbegäran.docx", "A 25834-2022")</f>
        <v/>
      </c>
      <c r="AD12">
        <f>HYPERLINK("https://klasma.github.io/Logging_1291/tillsynsmail/A 25834-2022 tillsynsbegäran mail.docx", "A 25834-2022")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46225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17038-2026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46225</v>
      </c>
      <c r="F14" t="inlineStr">
        <is>
          <t>SKÅNE LÄN</t>
        </is>
      </c>
      <c r="G14" t="inlineStr">
        <is>
          <t>SIMRISHAMN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Hasselmus</t>
        </is>
      </c>
      <c r="W14">
        <f>HYPERLINK("https://klasma.github.io/Logging_1291/artfynd/A 17038-2026 artfynd.xlsx", "A 17038-2026")</f>
        <v/>
      </c>
      <c r="X14">
        <f>HYPERLINK("https://klasma.github.io/Logging_1291/kartor/A 17038-2026 karta.png", "A 17038-2026")</f>
        <v/>
      </c>
      <c r="Y14">
        <f>HYPERLINK("https://klasma.github.io/Logging_1291/kartor_geotiff/A 17038-2026 georefererad karta.tif", "A 17038-2026")</f>
        <v/>
      </c>
      <c r="AA14">
        <f>HYPERLINK("https://klasma.github.io/Logging_1291/klagomål/A 17038-2026 FSC-klagomål.docx", "A 17038-2026")</f>
        <v/>
      </c>
      <c r="AB14">
        <f>HYPERLINK("https://klasma.github.io/Logging_1291/klagomålsmail/A 17038-2026 FSC-klagomål mail.docx", "A 17038-2026")</f>
        <v/>
      </c>
      <c r="AC14">
        <f>HYPERLINK("https://klasma.github.io/Logging_1291/tillsyn/A 17038-2026 tillsynsbegäran.docx", "A 17038-2026")</f>
        <v/>
      </c>
      <c r="AD14">
        <f>HYPERLINK("https://klasma.github.io/Logging_1291/tillsynsmail/A 17038-2026 tillsynsbegäran mail.docx", "A 17038-2026")</f>
        <v/>
      </c>
    </row>
    <row r="15" ht="15" customHeight="1">
      <c r="A15" t="inlineStr">
        <is>
          <t>A 17022-2026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46225</v>
      </c>
      <c r="F15" t="inlineStr">
        <is>
          <t>SKÅNE LÄN</t>
        </is>
      </c>
      <c r="G15" t="inlineStr">
        <is>
          <t>SIMRISHAMN</t>
        </is>
      </c>
      <c r="I15" t="n">
        <v>2.1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4</v>
      </c>
      <c r="U15" t="n">
        <v>0</v>
      </c>
      <c r="V15" s="2" t="inlineStr">
        <is>
          <t>Hasselmus</t>
        </is>
      </c>
      <c r="W15">
        <f>HYPERLINK("https://klasma.github.io/Logging_1291/artfynd/A 17022-2026 artfynd.xlsx", "A 17022-2026")</f>
        <v/>
      </c>
      <c r="X15">
        <f>HYPERLINK("https://klasma.github.io/Logging_1291/kartor/A 17022-2026 karta.png", "A 17022-2026")</f>
        <v/>
      </c>
      <c r="Y15">
        <f>HYPERLINK("https://klasma.github.io/Logging_1291/kartor_geotiff/A 17022-2026 georefererad karta.tif", "A 17022-2026")</f>
        <v/>
      </c>
      <c r="AA15">
        <f>HYPERLINK("https://klasma.github.io/Logging_1291/klagomål/A 17022-2026 FSC-klagomål.docx", "A 17022-2026")</f>
        <v/>
      </c>
      <c r="AB15">
        <f>HYPERLINK("https://klasma.github.io/Logging_1291/klagomålsmail/A 17022-2026 FSC-klagomål mail.docx", "A 17022-2026")</f>
        <v/>
      </c>
      <c r="AC15">
        <f>HYPERLINK("https://klasma.github.io/Logging_1291/tillsyn/A 17022-2026 tillsynsbegäran.docx", "A 17022-2026")</f>
        <v/>
      </c>
      <c r="AD15">
        <f>HYPERLINK("https://klasma.github.io/Logging_1291/tillsynsmail/A 17022-2026 tillsynsbegäran mail.docx", "A 17022-2026")</f>
        <v/>
      </c>
    </row>
    <row r="16" ht="15" customHeight="1">
      <c r="A16" t="inlineStr">
        <is>
          <t>A 18002-2026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46225</v>
      </c>
      <c r="F16" t="inlineStr">
        <is>
          <t>SKÅNE LÄN</t>
        </is>
      </c>
      <c r="G16" t="inlineStr">
        <is>
          <t>SIMRISHAMN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18002-2026 artfynd.xlsx", "A 18002-2026")</f>
        <v/>
      </c>
      <c r="X16">
        <f>HYPERLINK("https://klasma.github.io/Logging_1291/kartor/A 18002-2026 karta.png", "A 18002-2026")</f>
        <v/>
      </c>
      <c r="Y16">
        <f>HYPERLINK("https://klasma.github.io/Logging_1291/kartor_geotiff/A 18002-2026 georefererad karta.tif", "A 18002-2026")</f>
        <v/>
      </c>
      <c r="AA16">
        <f>HYPERLINK("https://klasma.github.io/Logging_1291/klagomål/A 18002-2026 FSC-klagomål.docx", "A 18002-2026")</f>
        <v/>
      </c>
      <c r="AB16">
        <f>HYPERLINK("https://klasma.github.io/Logging_1291/klagomålsmail/A 18002-2026 FSC-klagomål mail.docx", "A 18002-2026")</f>
        <v/>
      </c>
      <c r="AC16">
        <f>HYPERLINK("https://klasma.github.io/Logging_1291/tillsyn/A 18002-2026 tillsynsbegäran.docx", "A 18002-2026")</f>
        <v/>
      </c>
      <c r="AD16">
        <f>HYPERLINK("https://klasma.github.io/Logging_1291/tillsynsmail/A 18002-2026 tillsynsbegäran mail.docx", "A 18002-2026")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46225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7082-2024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46225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22.7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Småvänderot</t>
        </is>
      </c>
      <c r="W18">
        <f>HYPERLINK("https://klasma.github.io/Logging_1291/artfynd/A 7082-2024 artfynd.xlsx", "A 7082-2024")</f>
        <v/>
      </c>
      <c r="X18">
        <f>HYPERLINK("https://klasma.github.io/Logging_1291/kartor/A 7082-2024 karta.png", "A 7082-2024")</f>
        <v/>
      </c>
      <c r="Y18">
        <f>HYPERLINK("https://klasma.github.io/Logging_1291/kartor_geotiff/A 7082-2024 georefererad karta.tif", "A 7082-2024")</f>
        <v/>
      </c>
      <c r="AA18">
        <f>HYPERLINK("https://klasma.github.io/Logging_1291/klagomål/A 7082-2024 FSC-klagomål.docx", "A 7082-2024")</f>
        <v/>
      </c>
      <c r="AB18">
        <f>HYPERLINK("https://klasma.github.io/Logging_1291/klagomålsmail/A 7082-2024 FSC-klagomål mail.docx", "A 7082-2024")</f>
        <v/>
      </c>
      <c r="AC18">
        <f>HYPERLINK("https://klasma.github.io/Logging_1291/tillsyn/A 7082-2024 tillsynsbegäran.docx", "A 7082-2024")</f>
        <v/>
      </c>
      <c r="AD18">
        <f>HYPERLINK("https://klasma.github.io/Logging_1291/tillsynsmail/A 7082-2024 tillsynsbegäran mail.docx", "A 7082-2024")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46225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50134-2024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46225</v>
      </c>
      <c r="F20" t="inlineStr">
        <is>
          <t>SKÅNE LÄN</t>
        </is>
      </c>
      <c r="G20" t="inlineStr">
        <is>
          <t>SIMRISHAMN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50134-2024 artfynd.xlsx", "A 50134-2024")</f>
        <v/>
      </c>
      <c r="X20">
        <f>HYPERLINK("https://klasma.github.io/Logging_1291/kartor/A 50134-2024 karta.png", "A 50134-2024")</f>
        <v/>
      </c>
      <c r="Y20">
        <f>HYPERLINK("https://klasma.github.io/Logging_1291/kartor_geotiff/A 50134-2024 georefererad karta.tif", "A 50134-2024")</f>
        <v/>
      </c>
      <c r="AA20">
        <f>HYPERLINK("https://klasma.github.io/Logging_1291/klagomål/A 50134-2024 FSC-klagomål.docx", "A 50134-2024")</f>
        <v/>
      </c>
      <c r="AB20">
        <f>HYPERLINK("https://klasma.github.io/Logging_1291/klagomålsmail/A 50134-2024 FSC-klagomål mail.docx", "A 50134-2024")</f>
        <v/>
      </c>
      <c r="AC20">
        <f>HYPERLINK("https://klasma.github.io/Logging_1291/tillsyn/A 50134-2024 tillsynsbegäran.docx", "A 50134-2024")</f>
        <v/>
      </c>
      <c r="AD20">
        <f>HYPERLINK("https://klasma.github.io/Logging_1291/tillsynsmail/A 50134-2024 tillsynsbegäran mail.docx", "A 50134-2024")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46225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46225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46225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46225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46225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46225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46225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46225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46035</v>
      </c>
      <c r="E33" s="1" t="n">
        <v>46225</v>
      </c>
      <c r="F33" t="inlineStr">
        <is>
          <t>SKÅNE LÄN</t>
        </is>
      </c>
      <c r="G33" t="inlineStr">
        <is>
          <t>SIMRISHAMN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46225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6830-2025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45700</v>
      </c>
      <c r="E35" s="1" t="n">
        <v>46225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30911-2024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45498</v>
      </c>
      <c r="E36" s="1" t="n">
        <v>46225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45875</v>
      </c>
      <c r="E37" s="1" t="n">
        <v>46225</v>
      </c>
      <c r="F37" t="inlineStr">
        <is>
          <t>SKÅNE LÄN</t>
        </is>
      </c>
      <c r="G37" t="inlineStr">
        <is>
          <t>SIMRISHAMN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46225</v>
      </c>
      <c r="F38" t="inlineStr">
        <is>
          <t>SKÅNE LÄN</t>
        </is>
      </c>
      <c r="G38" t="inlineStr">
        <is>
          <t>SIMRISHAMN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46225</v>
      </c>
      <c r="F39" t="inlineStr">
        <is>
          <t>SKÅNE LÄN</t>
        </is>
      </c>
      <c r="G39" t="inlineStr">
        <is>
          <t>SIMRISHAMN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55504-2025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46225</v>
      </c>
      <c r="F40" t="inlineStr">
        <is>
          <t>SKÅNE LÄN</t>
        </is>
      </c>
      <c r="G40" t="inlineStr">
        <is>
          <t>SIMRISHAMN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46225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46225</v>
      </c>
      <c r="F42" t="inlineStr">
        <is>
          <t>SKÅNE LÄN</t>
        </is>
      </c>
      <c r="G42" t="inlineStr">
        <is>
          <t>SIMRISHAMN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45993</v>
      </c>
      <c r="E43" s="1" t="n">
        <v>46225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46225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14994-2022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46225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45426</v>
      </c>
      <c r="E46" s="1" t="n">
        <v>46225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44923</v>
      </c>
      <c r="E47" s="1" t="n">
        <v>46225</v>
      </c>
      <c r="F47" t="inlineStr">
        <is>
          <t>SKÅNE LÄN</t>
        </is>
      </c>
      <c r="G47" t="inlineStr">
        <is>
          <t>SIMRISHAMN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46225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14000-2025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46225</v>
      </c>
      <c r="F49" t="inlineStr">
        <is>
          <t>SKÅNE LÄN</t>
        </is>
      </c>
      <c r="G49" t="inlineStr">
        <is>
          <t>SIMRISHAMN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46225</v>
      </c>
      <c r="F50" t="inlineStr">
        <is>
          <t>SKÅNE LÄN</t>
        </is>
      </c>
      <c r="G50" t="inlineStr">
        <is>
          <t>SIMRISHAMN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46006</v>
      </c>
      <c r="E51" s="1" t="n">
        <v>46225</v>
      </c>
      <c r="F51" t="inlineStr">
        <is>
          <t>SKÅNE LÄN</t>
        </is>
      </c>
      <c r="G51" t="inlineStr">
        <is>
          <t>SIMRISHAMN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45875</v>
      </c>
      <c r="E52" s="1" t="n">
        <v>46225</v>
      </c>
      <c r="F52" t="inlineStr">
        <is>
          <t>SKÅNE LÄN</t>
        </is>
      </c>
      <c r="G52" t="inlineStr">
        <is>
          <t>SIMRISHAMN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45317</v>
      </c>
      <c r="E53" s="1" t="n">
        <v>46225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18005-2026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46225</v>
      </c>
      <c r="F54" t="inlineStr">
        <is>
          <t>SKÅNE LÄN</t>
        </is>
      </c>
      <c r="G54" t="inlineStr">
        <is>
          <t>SIMRISHAMN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46225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45429</v>
      </c>
      <c r="E56" s="1" t="n">
        <v>46225</v>
      </c>
      <c r="F56" t="inlineStr">
        <is>
          <t>SKÅNE LÄN</t>
        </is>
      </c>
      <c r="G56" t="inlineStr">
        <is>
          <t>SIMRISHAMN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46225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46225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46225</v>
      </c>
      <c r="F59" t="inlineStr">
        <is>
          <t>SKÅNE LÄN</t>
        </is>
      </c>
      <c r="G59" t="inlineStr">
        <is>
          <t>SIMRISHAMN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46225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46225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45348</v>
      </c>
      <c r="E62" s="1" t="n">
        <v>46225</v>
      </c>
      <c r="F62" t="inlineStr">
        <is>
          <t>SKÅNE LÄN</t>
        </is>
      </c>
      <c r="G62" t="inlineStr">
        <is>
          <t>SIMRISHAMN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46225</v>
      </c>
      <c r="F63" t="inlineStr">
        <is>
          <t>SKÅNE LÄN</t>
        </is>
      </c>
      <c r="G63" t="inlineStr">
        <is>
          <t>SIMRISHAMN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46225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45162</v>
      </c>
      <c r="E65" s="1" t="n">
        <v>46225</v>
      </c>
      <c r="F65" t="inlineStr">
        <is>
          <t>SKÅNE LÄN</t>
        </is>
      </c>
      <c r="G65" t="inlineStr">
        <is>
          <t>SIMRISHAMN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42374-2023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46225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46225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46225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46225</v>
      </c>
      <c r="F69" t="inlineStr">
        <is>
          <t>SKÅNE LÄN</t>
        </is>
      </c>
      <c r="G69" t="inlineStr">
        <is>
          <t>SIMRISHAMN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45162</v>
      </c>
      <c r="E70" s="1" t="n">
        <v>46225</v>
      </c>
      <c r="F70" t="inlineStr">
        <is>
          <t>SKÅNE LÄN</t>
        </is>
      </c>
      <c r="G70" t="inlineStr">
        <is>
          <t>SIMRISHAMN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46225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46225</v>
      </c>
      <c r="F72" t="inlineStr">
        <is>
          <t>SKÅNE LÄN</t>
        </is>
      </c>
      <c r="G72" t="inlineStr">
        <is>
          <t>SIMRISHAMN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46225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46225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46225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46225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46225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46225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46225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46225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46225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46225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44417</v>
      </c>
      <c r="E83" s="1" t="n">
        <v>46225</v>
      </c>
      <c r="F83" t="inlineStr">
        <is>
          <t>SKÅNE LÄN</t>
        </is>
      </c>
      <c r="G83" t="inlineStr">
        <is>
          <t>SIMRISHAMN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56820-2024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45628</v>
      </c>
      <c r="E84" s="1" t="n">
        <v>46225</v>
      </c>
      <c r="F84" t="inlineStr">
        <is>
          <t>SKÅNE LÄN</t>
        </is>
      </c>
      <c r="G84" t="inlineStr">
        <is>
          <t>SIMRISHAMN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46225</v>
      </c>
      <c r="F85" t="inlineStr">
        <is>
          <t>SKÅNE LÄN</t>
        </is>
      </c>
      <c r="G85" t="inlineStr">
        <is>
          <t>SIMRISHAMN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44922</v>
      </c>
      <c r="E86" s="1" t="n">
        <v>46225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46225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46225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46225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46225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46225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46225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46225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46225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46225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46225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46225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46225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46225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46225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46225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2026-07-22T01:36:55Z</dcterms:created>
  <dcterms:modified xmlns:dcterms="http://purl.org/dc/terms/" xmlns:xsi="http://www.w3.org/2001/XMLSchema-instance" xsi:type="dcterms:W3CDTF">2026-07-22T01:36:55Z</dcterms:modified>
</cp:coreProperties>
</file>