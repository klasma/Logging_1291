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46218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14</v>
      </c>
      <c r="K2" t="n">
        <v>4</v>
      </c>
      <c r="L2" t="n">
        <v>5</v>
      </c>
      <c r="M2" t="n">
        <v>3</v>
      </c>
      <c r="N2" t="n">
        <v>2</v>
      </c>
      <c r="O2" t="n">
        <v>1</v>
      </c>
      <c r="P2" t="n">
        <v>0</v>
      </c>
      <c r="Q2" t="n">
        <v>11</v>
      </c>
      <c r="R2" t="n">
        <v>6</v>
      </c>
      <c r="S2" t="n">
        <v>24</v>
      </c>
      <c r="T2" t="n">
        <v>28</v>
      </c>
      <c r="U2" s="2" t="inlineStr">
        <is>
          <t>Fältpiplärka
Ask
Skogsalm
Hedblomster
Kullerlöpare
Stor sandlilja
Björktrast
Desmeknopp
Grönsångare
Mindre purpurmätare
Skogsveronika
Fjällsopp
Liten stinksvamp
Lundbräsma
Lömsk flugsvamp
Spillkråka
Buskskvätta
Gröngöling
Kråka
Kungsfågel
Skogsduva
Trädlärka
Kopparödla
Mindre vattensalamander</t>
        </is>
      </c>
      <c r="V2">
        <f>HYPERLINK("https://klasma.github.io/Logging_1291/artfynd/S 872-2025 artfynd.xlsx", "S 872-2025")</f>
        <v/>
      </c>
      <c r="W2">
        <f>HYPERLINK("https://klasma.github.io/Logging_1291/kartor/S 872-2025 karta.png", "S 872-2025")</f>
        <v/>
      </c>
      <c r="Y2">
        <f>HYPERLINK("https://klasma.github.io/Logging_1291/klagomål/S 872-2025 FSC-klagomål.docx", "S 872-2025")</f>
        <v/>
      </c>
      <c r="Z2">
        <f>HYPERLINK("https://klasma.github.io/Logging_1291/klagomålsmail/S 872-2025 FSC-klagomål mail.docx", "S 872-2025")</f>
        <v/>
      </c>
      <c r="AA2">
        <f>HYPERLINK("https://klasma.github.io/Logging_1291/tillsyn/S 872-2025 tillsynsbegäran.docx", "S 872-2025")</f>
        <v/>
      </c>
      <c r="AB2">
        <f>HYPERLINK("https://klasma.github.io/Logging_1291/tillsynsmail/S 872-2025 tillsynsbegäran mail.docx", "S 872-2025")</f>
        <v/>
      </c>
      <c r="AC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46218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s="2" t="inlineStr">
        <is>
          <t>Rosa lundlav
Bokvårtlav
Stiftklotterlav
Guldlockmossa
Lönnlav
Platt fjädermossa
Trädporella
Gröngöling</t>
        </is>
      </c>
      <c r="V3">
        <f>HYPERLINK("https://klasma.github.io/Logging_1291/artfynd/A 19439-2024 artfynd.xlsx", "A 19439-2024")</f>
        <v/>
      </c>
      <c r="W3">
        <f>HYPERLINK("https://klasma.github.io/Logging_1291/kartor/A 19439-2024 karta.png", "A 19439-2024")</f>
        <v/>
      </c>
      <c r="Y3">
        <f>HYPERLINK("https://klasma.github.io/Logging_1291/klagomål/A 19439-2024 FSC-klagomål.docx", "A 19439-2024")</f>
        <v/>
      </c>
      <c r="Z3">
        <f>HYPERLINK("https://klasma.github.io/Logging_1291/klagomålsmail/A 19439-2024 FSC-klagomål mail.docx", "A 19439-2024")</f>
        <v/>
      </c>
      <c r="AA3">
        <f>HYPERLINK("https://klasma.github.io/Logging_1291/tillsyn/A 19439-2024 tillsynsbegäran.docx", "A 19439-2024")</f>
        <v/>
      </c>
      <c r="AB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46218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s="2" t="inlineStr">
        <is>
          <t>Ask
Skogsalm
Backsippa
Sminkrot
Åkerkulla
Långbensgroda</t>
        </is>
      </c>
      <c r="V4">
        <f>HYPERLINK("https://klasma.github.io/Logging_1291/artfynd/A 18589-2022 artfynd.xlsx", "A 18589-2022")</f>
        <v/>
      </c>
      <c r="W4">
        <f>HYPERLINK("https://klasma.github.io/Logging_1291/kartor/A 18589-2022 karta.png", "A 18589-2022")</f>
        <v/>
      </c>
      <c r="Y4">
        <f>HYPERLINK("https://klasma.github.io/Logging_1291/klagomål/A 18589-2022 FSC-klagomål.docx", "A 18589-2022")</f>
        <v/>
      </c>
      <c r="Z4">
        <f>HYPERLINK("https://klasma.github.io/Logging_1291/klagomålsmail/A 18589-2022 FSC-klagomål mail.docx", "A 18589-2022")</f>
        <v/>
      </c>
      <c r="AA4">
        <f>HYPERLINK("https://klasma.github.io/Logging_1291/tillsyn/A 18589-2022 tillsynsbegäran.docx", "A 18589-2022")</f>
        <v/>
      </c>
      <c r="AB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46218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s="2" t="inlineStr">
        <is>
          <t>Bokvårtlav
Lunglav
Mjukdån
Småjungfrukam
Stor knopplav</t>
        </is>
      </c>
      <c r="V5">
        <f>HYPERLINK("https://klasma.github.io/Logging_1291/artfynd/A 45-2022 artfynd.xlsx", "A 45-2022")</f>
        <v/>
      </c>
      <c r="W5">
        <f>HYPERLINK("https://klasma.github.io/Logging_1291/kartor/A 45-2022 karta.png", "A 45-2022")</f>
        <v/>
      </c>
      <c r="Y5">
        <f>HYPERLINK("https://klasma.github.io/Logging_1291/klagomål/A 45-2022 FSC-klagomål.docx", "A 45-2022")</f>
        <v/>
      </c>
      <c r="Z5">
        <f>HYPERLINK("https://klasma.github.io/Logging_1291/klagomålsmail/A 45-2022 FSC-klagomål mail.docx", "A 45-2022")</f>
        <v/>
      </c>
      <c r="AA5">
        <f>HYPERLINK("https://klasma.github.io/Logging_1291/tillsyn/A 45-2022 tillsynsbegäran.docx", "A 45-2022")</f>
        <v/>
      </c>
      <c r="AB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46218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Talltita
Grönsiska
Kungsfågel</t>
        </is>
      </c>
      <c r="V6">
        <f>HYPERLINK("https://klasma.github.io/Logging_1291/artfynd/A 19874-2024 artfynd.xlsx", "A 19874-2024")</f>
        <v/>
      </c>
      <c r="W6">
        <f>HYPERLINK("https://klasma.github.io/Logging_1291/kartor/A 19874-2024 karta.png", "A 19874-2024")</f>
        <v/>
      </c>
      <c r="Y6">
        <f>HYPERLINK("https://klasma.github.io/Logging_1291/klagomål/A 19874-2024 FSC-klagomål.docx", "A 19874-2024")</f>
        <v/>
      </c>
      <c r="Z6">
        <f>HYPERLINK("https://klasma.github.io/Logging_1291/klagomålsmail/A 19874-2024 FSC-klagomål mail.docx", "A 19874-2024")</f>
        <v/>
      </c>
      <c r="AA6">
        <f>HYPERLINK("https://klasma.github.io/Logging_1291/tillsyn/A 19874-2024 tillsynsbegäran.docx", "A 19874-2024")</f>
        <v/>
      </c>
      <c r="AB6">
        <f>HYPERLINK("https://klasma.github.io/Logging_1291/tillsynsmail/A 19874-2024 tillsynsbegäran mail.docx", "A 19874-2024")</f>
        <v/>
      </c>
      <c r="AC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46218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Bokoxe
Rostfläck
Spillkråka</t>
        </is>
      </c>
      <c r="V7">
        <f>HYPERLINK("https://klasma.github.io/Logging_1291/artfynd/A 27430-2024 artfynd.xlsx", "A 27430-2024")</f>
        <v/>
      </c>
      <c r="W7">
        <f>HYPERLINK("https://klasma.github.io/Logging_1291/kartor/A 27430-2024 karta.png", "A 27430-2024")</f>
        <v/>
      </c>
      <c r="Y7">
        <f>HYPERLINK("https://klasma.github.io/Logging_1291/klagomål/A 27430-2024 FSC-klagomål.docx", "A 27430-2024")</f>
        <v/>
      </c>
      <c r="Z7">
        <f>HYPERLINK("https://klasma.github.io/Logging_1291/klagomålsmail/A 27430-2024 FSC-klagomål mail.docx", "A 27430-2024")</f>
        <v/>
      </c>
      <c r="AA7">
        <f>HYPERLINK("https://klasma.github.io/Logging_1291/tillsyn/A 27430-2024 tillsynsbegäran.docx", "A 27430-2024")</f>
        <v/>
      </c>
      <c r="AB7">
        <f>HYPERLINK("https://klasma.github.io/Logging_1291/tillsynsmail/A 27430-2024 tillsynsbegäran mail.docx", "A 27430-2024")</f>
        <v/>
      </c>
      <c r="AC7">
        <f>HYPERLINK("https://klasma.github.io/Logging_1291/fåglar/A 27430-2024 prioriterade fågelarter.docx", "A 27430-2024")</f>
        <v/>
      </c>
    </row>
    <row r="8" ht="15" customHeight="1">
      <c r="A8" t="inlineStr">
        <is>
          <t>A 39121-2021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44412</v>
      </c>
      <c r="E8" s="1" t="n">
        <v>46218</v>
      </c>
      <c r="F8" t="inlineStr">
        <is>
          <t>SKÅNE LÄN</t>
        </is>
      </c>
      <c r="G8" t="inlineStr">
        <is>
          <t>SIMRISHAMN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Lövgroda
Större vattensalamander</t>
        </is>
      </c>
      <c r="V8">
        <f>HYPERLINK("https://klasma.github.io/Logging_1291/artfynd/A 39121-2021 artfynd.xlsx", "A 39121-2021")</f>
        <v/>
      </c>
      <c r="W8">
        <f>HYPERLINK("https://klasma.github.io/Logging_1291/kartor/A 39121-2021 karta.png", "A 39121-2021")</f>
        <v/>
      </c>
      <c r="Y8">
        <f>HYPERLINK("https://klasma.github.io/Logging_1291/klagomål/A 39121-2021 FSC-klagomål.docx", "A 39121-2021")</f>
        <v/>
      </c>
      <c r="Z8">
        <f>HYPERLINK("https://klasma.github.io/Logging_1291/klagomålsmail/A 39121-2021 FSC-klagomål mail.docx", "A 39121-2021")</f>
        <v/>
      </c>
      <c r="AA8">
        <f>HYPERLINK("https://klasma.github.io/Logging_1291/tillsyn/A 39121-2021 tillsynsbegäran.docx", "A 39121-2021")</f>
        <v/>
      </c>
      <c r="AB8">
        <f>HYPERLINK("https://klasma.github.io/Logging_1291/tillsynsmail/A 39121-2021 tillsynsbegäran mail.docx", "A 39121-2021")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46218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s="2" t="inlineStr">
        <is>
          <t>Bredbrämad bastardsvärmare
Dvärgpipistrell</t>
        </is>
      </c>
      <c r="V9">
        <f>HYPERLINK("https://klasma.github.io/Logging_1291/artfynd/A 951-2024 artfynd.xlsx", "A 951-2024")</f>
        <v/>
      </c>
      <c r="W9">
        <f>HYPERLINK("https://klasma.github.io/Logging_1291/kartor/A 951-2024 karta.png", "A 951-2024")</f>
        <v/>
      </c>
      <c r="Y9">
        <f>HYPERLINK("https://klasma.github.io/Logging_1291/klagomål/A 951-2024 FSC-klagomål.docx", "A 951-2024")</f>
        <v/>
      </c>
      <c r="Z9">
        <f>HYPERLINK("https://klasma.github.io/Logging_1291/klagomålsmail/A 951-2024 FSC-klagomål mail.docx", "A 951-2024")</f>
        <v/>
      </c>
      <c r="AA9">
        <f>HYPERLINK("https://klasma.github.io/Logging_1291/tillsyn/A 951-2024 tillsynsbegäran.docx", "A 951-2024")</f>
        <v/>
      </c>
      <c r="AB9">
        <f>HYPERLINK("https://klasma.github.io/Logging_1291/tillsynsmail/A 951-2024 tillsynsbegäran mail.docx", "A 951-2024")</f>
        <v/>
      </c>
    </row>
    <row r="10" ht="15" customHeight="1">
      <c r="A10" t="inlineStr">
        <is>
          <t>A 7716-2024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45349</v>
      </c>
      <c r="E10" s="1" t="n">
        <v>46218</v>
      </c>
      <c r="F10" t="inlineStr">
        <is>
          <t>SKÅNE LÄN</t>
        </is>
      </c>
      <c r="G10" t="inlineStr">
        <is>
          <t>SIMRISHAMN</t>
        </is>
      </c>
      <c r="I10" t="n">
        <v>1.8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s="2" t="inlineStr">
        <is>
          <t>Talltita
Ängskovall</t>
        </is>
      </c>
      <c r="V10">
        <f>HYPERLINK("https://klasma.github.io/Logging_1291/artfynd/A 7716-2024 artfynd.xlsx", "A 7716-2024")</f>
        <v/>
      </c>
      <c r="W10">
        <f>HYPERLINK("https://klasma.github.io/Logging_1291/kartor/A 7716-2024 karta.png", "A 7716-2024")</f>
        <v/>
      </c>
      <c r="Y10">
        <f>HYPERLINK("https://klasma.github.io/Logging_1291/klagomål/A 7716-2024 FSC-klagomål.docx", "A 7716-2024")</f>
        <v/>
      </c>
      <c r="Z10">
        <f>HYPERLINK("https://klasma.github.io/Logging_1291/klagomålsmail/A 7716-2024 FSC-klagomål mail.docx", "A 7716-2024")</f>
        <v/>
      </c>
      <c r="AA10">
        <f>HYPERLINK("https://klasma.github.io/Logging_1291/tillsyn/A 7716-2024 tillsynsbegäran.docx", "A 7716-2024")</f>
        <v/>
      </c>
      <c r="AB10">
        <f>HYPERLINK("https://klasma.github.io/Logging_1291/tillsynsmail/A 7716-2024 tillsynsbegäran mail.docx", "A 7716-2024")</f>
        <v/>
      </c>
      <c r="AC10">
        <f>HYPERLINK("https://klasma.github.io/Logging_1291/fåglar/A 7716-2024 prioriterade fågelarter.docx", "A 7716-2024")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46218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s="2" t="inlineStr">
        <is>
          <t>Hasselmus</t>
        </is>
      </c>
      <c r="V11">
        <f>HYPERLINK("https://klasma.github.io/Logging_1291/artfynd/A 25834-2022 artfynd.xlsx", "A 25834-2022")</f>
        <v/>
      </c>
      <c r="W11">
        <f>HYPERLINK("https://klasma.github.io/Logging_1291/kartor/A 25834-2022 karta.png", "A 25834-2022")</f>
        <v/>
      </c>
      <c r="Y11">
        <f>HYPERLINK("https://klasma.github.io/Logging_1291/klagomål/A 25834-2022 FSC-klagomål.docx", "A 25834-2022")</f>
        <v/>
      </c>
      <c r="Z11">
        <f>HYPERLINK("https://klasma.github.io/Logging_1291/klagomålsmail/A 25834-2022 FSC-klagomål mail.docx", "A 25834-2022")</f>
        <v/>
      </c>
      <c r="AA11">
        <f>HYPERLINK("https://klasma.github.io/Logging_1291/tillsyn/A 25834-2022 tillsynsbegäran.docx", "A 25834-2022")</f>
        <v/>
      </c>
      <c r="AB11">
        <f>HYPERLINK("https://klasma.github.io/Logging_1291/tillsynsmail/A 25834-2022 tillsynsbegäran mail.docx", "A 25834-2022")</f>
        <v/>
      </c>
    </row>
    <row r="12" ht="15" customHeight="1">
      <c r="A12" t="inlineStr">
        <is>
          <t>A 50134-2024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46218</v>
      </c>
      <c r="F12" t="inlineStr">
        <is>
          <t>SKÅNE LÄN</t>
        </is>
      </c>
      <c r="G12" t="inlineStr">
        <is>
          <t>SIMRISHAMN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Hasselmus</t>
        </is>
      </c>
      <c r="V12">
        <f>HYPERLINK("https://klasma.github.io/Logging_1291/artfynd/A 50134-2024 artfynd.xlsx", "A 50134-2024")</f>
        <v/>
      </c>
      <c r="W12">
        <f>HYPERLINK("https://klasma.github.io/Logging_1291/kartor/A 50134-2024 karta.png", "A 50134-2024")</f>
        <v/>
      </c>
      <c r="Y12">
        <f>HYPERLINK("https://klasma.github.io/Logging_1291/klagomål/A 50134-2024 FSC-klagomål.docx", "A 50134-2024")</f>
        <v/>
      </c>
      <c r="Z12">
        <f>HYPERLINK("https://klasma.github.io/Logging_1291/klagomålsmail/A 50134-2024 FSC-klagomål mail.docx", "A 50134-2024")</f>
        <v/>
      </c>
      <c r="AA12">
        <f>HYPERLINK("https://klasma.github.io/Logging_1291/tillsyn/A 50134-2024 tillsynsbegäran.docx", "A 50134-2024")</f>
        <v/>
      </c>
      <c r="AB12">
        <f>HYPERLINK("https://klasma.github.io/Logging_1291/tillsynsmail/A 50134-2024 tillsynsbegäran mail.docx", "A 50134-2024")</f>
        <v/>
      </c>
    </row>
    <row r="13" ht="15" customHeight="1">
      <c r="A13" t="inlineStr">
        <is>
          <t>A 45802-2022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44844</v>
      </c>
      <c r="E13" s="1" t="n">
        <v>46218</v>
      </c>
      <c r="F13" t="inlineStr">
        <is>
          <t>SKÅNE LÄN</t>
        </is>
      </c>
      <c r="G13" t="inlineStr">
        <is>
          <t>SIMRISHAMN</t>
        </is>
      </c>
      <c r="I13" t="n">
        <v>1.2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Hartsticka</t>
        </is>
      </c>
      <c r="V13">
        <f>HYPERLINK("https://klasma.github.io/Logging_1291/artfynd/A 45802-2022 artfynd.xlsx", "A 45802-2022")</f>
        <v/>
      </c>
      <c r="W13">
        <f>HYPERLINK("https://klasma.github.io/Logging_1291/kartor/A 45802-2022 karta.png", "A 45802-2022")</f>
        <v/>
      </c>
      <c r="Y13">
        <f>HYPERLINK("https://klasma.github.io/Logging_1291/klagomål/A 45802-2022 FSC-klagomål.docx", "A 45802-2022")</f>
        <v/>
      </c>
      <c r="Z13">
        <f>HYPERLINK("https://klasma.github.io/Logging_1291/klagomålsmail/A 45802-2022 FSC-klagomål mail.docx", "A 45802-2022")</f>
        <v/>
      </c>
      <c r="AA13">
        <f>HYPERLINK("https://klasma.github.io/Logging_1291/tillsyn/A 45802-2022 tillsynsbegäran.docx", "A 45802-2022")</f>
        <v/>
      </c>
      <c r="AB13">
        <f>HYPERLINK("https://klasma.github.io/Logging_1291/tillsynsmail/A 45802-2022 tillsynsbegäran mail.docx", "A 45802-2022")</f>
        <v/>
      </c>
    </row>
    <row r="14" ht="15" customHeight="1">
      <c r="A14" t="inlineStr">
        <is>
          <t>A 7082-2024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45343</v>
      </c>
      <c r="E14" s="1" t="n">
        <v>46218</v>
      </c>
      <c r="F14" t="inlineStr">
        <is>
          <t>SKÅNE LÄN</t>
        </is>
      </c>
      <c r="G14" t="inlineStr">
        <is>
          <t>SIMRISHAMN</t>
        </is>
      </c>
      <c r="H14" t="inlineStr">
        <is>
          <t>Övriga Aktiebolag</t>
        </is>
      </c>
      <c r="I14" t="n">
        <v>22.7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Småvänderot</t>
        </is>
      </c>
      <c r="V14">
        <f>HYPERLINK("https://klasma.github.io/Logging_1291/artfynd/A 7082-2024 artfynd.xlsx", "A 7082-2024")</f>
        <v/>
      </c>
      <c r="W14">
        <f>HYPERLINK("https://klasma.github.io/Logging_1291/kartor/A 7082-2024 karta.png", "A 7082-2024")</f>
        <v/>
      </c>
      <c r="Y14">
        <f>HYPERLINK("https://klasma.github.io/Logging_1291/klagomål/A 7082-2024 FSC-klagomål.docx", "A 7082-2024")</f>
        <v/>
      </c>
      <c r="Z14">
        <f>HYPERLINK("https://klasma.github.io/Logging_1291/klagomålsmail/A 7082-2024 FSC-klagomål mail.docx", "A 7082-2024")</f>
        <v/>
      </c>
      <c r="AA14">
        <f>HYPERLINK("https://klasma.github.io/Logging_1291/tillsyn/A 7082-2024 tillsynsbegäran.docx", "A 7082-2024")</f>
        <v/>
      </c>
      <c r="AB14">
        <f>HYPERLINK("https://klasma.github.io/Logging_1291/tillsynsmail/A 7082-2024 tillsynsbegäran mail.docx", "A 7082-2024")</f>
        <v/>
      </c>
    </row>
    <row r="15" ht="15" customHeight="1">
      <c r="A15" t="inlineStr">
        <is>
          <t>A 16258-2024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45407</v>
      </c>
      <c r="E15" s="1" t="n">
        <v>46218</v>
      </c>
      <c r="F15" t="inlineStr">
        <is>
          <t>SKÅNE LÄN</t>
        </is>
      </c>
      <c r="G15" t="inlineStr">
        <is>
          <t>SIMRISHAMN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Hasselmus</t>
        </is>
      </c>
      <c r="V15">
        <f>HYPERLINK("https://klasma.github.io/Logging_1291/artfynd/A 16258-2024 artfynd.xlsx", "A 16258-2024")</f>
        <v/>
      </c>
      <c r="W15">
        <f>HYPERLINK("https://klasma.github.io/Logging_1291/kartor/A 16258-2024 karta.png", "A 16258-2024")</f>
        <v/>
      </c>
      <c r="Y15">
        <f>HYPERLINK("https://klasma.github.io/Logging_1291/klagomål/A 16258-2024 FSC-klagomål.docx", "A 16258-2024")</f>
        <v/>
      </c>
      <c r="Z15">
        <f>HYPERLINK("https://klasma.github.io/Logging_1291/klagomålsmail/A 16258-2024 FSC-klagomål mail.docx", "A 16258-2024")</f>
        <v/>
      </c>
      <c r="AA15">
        <f>HYPERLINK("https://klasma.github.io/Logging_1291/tillsyn/A 16258-2024 tillsynsbegäran.docx", "A 16258-2024")</f>
        <v/>
      </c>
      <c r="AB15">
        <f>HYPERLINK("https://klasma.github.io/Logging_1291/tillsynsmail/A 16258-2024 tillsynsbegäran mail.docx", "A 16258-2024")</f>
        <v/>
      </c>
    </row>
    <row r="16" ht="15" customHeight="1">
      <c r="A16" t="inlineStr">
        <is>
          <t>A 3401-2024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45318</v>
      </c>
      <c r="E16" s="1" t="n">
        <v>46218</v>
      </c>
      <c r="F16" t="inlineStr">
        <is>
          <t>SKÅNE LÄN</t>
        </is>
      </c>
      <c r="G16" t="inlineStr">
        <is>
          <t>SIMRISHAMN</t>
        </is>
      </c>
      <c r="I16" t="n">
        <v>6.8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Borsttåg</t>
        </is>
      </c>
      <c r="V16">
        <f>HYPERLINK("https://klasma.github.io/Logging_1291/artfynd/A 3401-2024 artfynd.xlsx", "A 3401-2024")</f>
        <v/>
      </c>
      <c r="W16">
        <f>HYPERLINK("https://klasma.github.io/Logging_1291/kartor/A 3401-2024 karta.png", "A 3401-2024")</f>
        <v/>
      </c>
      <c r="Y16">
        <f>HYPERLINK("https://klasma.github.io/Logging_1291/klagomål/A 3401-2024 FSC-klagomål.docx", "A 3401-2024")</f>
        <v/>
      </c>
      <c r="Z16">
        <f>HYPERLINK("https://klasma.github.io/Logging_1291/klagomålsmail/A 3401-2024 FSC-klagomål mail.docx", "A 3401-2024")</f>
        <v/>
      </c>
      <c r="AA16">
        <f>HYPERLINK("https://klasma.github.io/Logging_1291/tillsyn/A 3401-2024 tillsynsbegäran.docx", "A 3401-2024")</f>
        <v/>
      </c>
      <c r="AB16">
        <f>HYPERLINK("https://klasma.github.io/Logging_1291/tillsynsmail/A 3401-2024 tillsynsbegäran mail.docx", "A 3401-2024")</f>
        <v/>
      </c>
    </row>
    <row r="17" ht="15" customHeight="1">
      <c r="A17" t="inlineStr">
        <is>
          <t>A 20090-2024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45434</v>
      </c>
      <c r="E17" s="1" t="n">
        <v>46218</v>
      </c>
      <c r="F17" t="inlineStr">
        <is>
          <t>SKÅNE LÄN</t>
        </is>
      </c>
      <c r="G17" t="inlineStr">
        <is>
          <t>SIMRISHAMN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Hasselmus</t>
        </is>
      </c>
      <c r="V17">
        <f>HYPERLINK("https://klasma.github.io/Logging_1291/artfynd/A 20090-2024 artfynd.xlsx", "A 20090-2024")</f>
        <v/>
      </c>
      <c r="W17">
        <f>HYPERLINK("https://klasma.github.io/Logging_1291/kartor/A 20090-2024 karta.png", "A 20090-2024")</f>
        <v/>
      </c>
      <c r="Y17">
        <f>HYPERLINK("https://klasma.github.io/Logging_1291/klagomål/A 20090-2024 FSC-klagomål.docx", "A 20090-2024")</f>
        <v/>
      </c>
      <c r="Z17">
        <f>HYPERLINK("https://klasma.github.io/Logging_1291/klagomålsmail/A 20090-2024 FSC-klagomål mail.docx", "A 20090-2024")</f>
        <v/>
      </c>
      <c r="AA17">
        <f>HYPERLINK("https://klasma.github.io/Logging_1291/tillsyn/A 20090-2024 tillsynsbegäran.docx", "A 20090-2024")</f>
        <v/>
      </c>
      <c r="AB17">
        <f>HYPERLINK("https://klasma.github.io/Logging_1291/tillsynsmail/A 20090-2024 tillsynsbegäran mail.docx", "A 20090-2024")</f>
        <v/>
      </c>
    </row>
    <row r="18" ht="15" customHeight="1">
      <c r="A18" t="inlineStr">
        <is>
          <t>A 26510-2026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46218</v>
      </c>
      <c r="F18" t="inlineStr">
        <is>
          <t>SKÅNE LÄN</t>
        </is>
      </c>
      <c r="G18" t="inlineStr">
        <is>
          <t>SIMRISHAMN</t>
        </is>
      </c>
      <c r="I18" t="n">
        <v>6.2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Igelkott</t>
        </is>
      </c>
      <c r="V18">
        <f>HYPERLINK("https://klasma.github.io/Logging_1291/artfynd/A 26510-2026 artfynd.xlsx", "A 26510-2026")</f>
        <v/>
      </c>
      <c r="W18">
        <f>HYPERLINK("https://klasma.github.io/Logging_1291/kartor/A 26510-2026 karta.png", "A 26510-2026")</f>
        <v/>
      </c>
      <c r="Y18">
        <f>HYPERLINK("https://klasma.github.io/Logging_1291/klagomål/A 26510-2026 FSC-klagomål.docx", "A 26510-2026")</f>
        <v/>
      </c>
      <c r="Z18">
        <f>HYPERLINK("https://klasma.github.io/Logging_1291/klagomålsmail/A 26510-2026 FSC-klagomål mail.docx", "A 26510-2026")</f>
        <v/>
      </c>
      <c r="AA18">
        <f>HYPERLINK("https://klasma.github.io/Logging_1291/tillsyn/A 26510-2026 tillsynsbegäran.docx", "A 26510-2026")</f>
        <v/>
      </c>
      <c r="AB18">
        <f>HYPERLINK("https://klasma.github.io/Logging_1291/tillsynsmail/A 26510-2026 tillsynsbegäran mail.docx", "A 26510-2026")</f>
        <v/>
      </c>
    </row>
    <row r="19" ht="15" customHeight="1">
      <c r="A19" t="inlineStr">
        <is>
          <t>A 22194-2023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45069</v>
      </c>
      <c r="E19" s="1" t="n">
        <v>46218</v>
      </c>
      <c r="F19" t="inlineStr">
        <is>
          <t>SKÅNE LÄN</t>
        </is>
      </c>
      <c r="G19" t="inlineStr">
        <is>
          <t>SIMRISHAMN</t>
        </is>
      </c>
      <c r="H19" t="inlineStr">
        <is>
          <t>Övriga Aktiebolag</t>
        </is>
      </c>
      <c r="I19" t="n">
        <v>11.4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Sandödla</t>
        </is>
      </c>
      <c r="V19">
        <f>HYPERLINK("https://klasma.github.io/Logging_1291/artfynd/A 22194-2023 artfynd.xlsx", "A 22194-2023")</f>
        <v/>
      </c>
      <c r="W19">
        <f>HYPERLINK("https://klasma.github.io/Logging_1291/kartor/A 22194-2023 karta.png", "A 22194-2023")</f>
        <v/>
      </c>
      <c r="Y19">
        <f>HYPERLINK("https://klasma.github.io/Logging_1291/klagomål/A 22194-2023 FSC-klagomål.docx", "A 22194-2023")</f>
        <v/>
      </c>
      <c r="Z19">
        <f>HYPERLINK("https://klasma.github.io/Logging_1291/klagomålsmail/A 22194-2023 FSC-klagomål mail.docx", "A 22194-2023")</f>
        <v/>
      </c>
      <c r="AA19">
        <f>HYPERLINK("https://klasma.github.io/Logging_1291/tillsyn/A 22194-2023 tillsynsbegäran.docx", "A 22194-2023")</f>
        <v/>
      </c>
      <c r="AB19">
        <f>HYPERLINK("https://klasma.github.io/Logging_1291/tillsynsmail/A 22194-2023 tillsynsbegäran mail.docx", "A 22194-2023")</f>
        <v/>
      </c>
    </row>
    <row r="20" ht="15" customHeight="1">
      <c r="A20" t="inlineStr">
        <is>
          <t>A 17038-2026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46114</v>
      </c>
      <c r="E20" s="1" t="n">
        <v>46218</v>
      </c>
      <c r="F20" t="inlineStr">
        <is>
          <t>SKÅNE LÄN</t>
        </is>
      </c>
      <c r="G20" t="inlineStr">
        <is>
          <t>SIMRISHAMN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s="2" t="inlineStr">
        <is>
          <t>Hasselmus</t>
        </is>
      </c>
      <c r="V20">
        <f>HYPERLINK("https://klasma.github.io/Logging_1291/artfynd/A 17038-2026 artfynd.xlsx", "A 17038-2026")</f>
        <v/>
      </c>
      <c r="W20">
        <f>HYPERLINK("https://klasma.github.io/Logging_1291/kartor/A 17038-2026 karta.png", "A 17038-2026")</f>
        <v/>
      </c>
      <c r="Y20">
        <f>HYPERLINK("https://klasma.github.io/Logging_1291/klagomål/A 17038-2026 FSC-klagomål.docx", "A 17038-2026")</f>
        <v/>
      </c>
      <c r="Z20">
        <f>HYPERLINK("https://klasma.github.io/Logging_1291/klagomålsmail/A 17038-2026 FSC-klagomål mail.docx", "A 17038-2026")</f>
        <v/>
      </c>
      <c r="AA20">
        <f>HYPERLINK("https://klasma.github.io/Logging_1291/tillsyn/A 17038-2026 tillsynsbegäran.docx", "A 17038-2026")</f>
        <v/>
      </c>
      <c r="AB20">
        <f>HYPERLINK("https://klasma.github.io/Logging_1291/tillsynsmail/A 17038-2026 tillsynsbegäran mail.docx", "A 17038-2026")</f>
        <v/>
      </c>
    </row>
    <row r="21" ht="15" customHeight="1">
      <c r="A21" t="inlineStr">
        <is>
          <t>A 17022-2026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46114</v>
      </c>
      <c r="E21" s="1" t="n">
        <v>46218</v>
      </c>
      <c r="F21" t="inlineStr">
        <is>
          <t>SKÅNE LÄN</t>
        </is>
      </c>
      <c r="G21" t="inlineStr">
        <is>
          <t>SIMRISHAMN</t>
        </is>
      </c>
      <c r="I21" t="n">
        <v>2.1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4</v>
      </c>
      <c r="U21" s="2" t="inlineStr">
        <is>
          <t>Hasselmus</t>
        </is>
      </c>
      <c r="V21">
        <f>HYPERLINK("https://klasma.github.io/Logging_1291/artfynd/A 17022-2026 artfynd.xlsx", "A 17022-2026")</f>
        <v/>
      </c>
      <c r="W21">
        <f>HYPERLINK("https://klasma.github.io/Logging_1291/kartor/A 17022-2026 karta.png", "A 17022-2026")</f>
        <v/>
      </c>
      <c r="Y21">
        <f>HYPERLINK("https://klasma.github.io/Logging_1291/klagomål/A 17022-2026 FSC-klagomål.docx", "A 17022-2026")</f>
        <v/>
      </c>
      <c r="Z21">
        <f>HYPERLINK("https://klasma.github.io/Logging_1291/klagomålsmail/A 17022-2026 FSC-klagomål mail.docx", "A 17022-2026")</f>
        <v/>
      </c>
      <c r="AA21">
        <f>HYPERLINK("https://klasma.github.io/Logging_1291/tillsyn/A 17022-2026 tillsynsbegäran.docx", "A 17022-2026")</f>
        <v/>
      </c>
      <c r="AB21">
        <f>HYPERLINK("https://klasma.github.io/Logging_1291/tillsynsmail/A 17022-2026 tillsynsbegäran mail.docx", "A 17022-2026")</f>
        <v/>
      </c>
    </row>
    <row r="22" ht="15" customHeight="1">
      <c r="A22" t="inlineStr">
        <is>
          <t>A 18002-2026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46125</v>
      </c>
      <c r="E22" s="1" t="n">
        <v>46218</v>
      </c>
      <c r="F22" t="inlineStr">
        <is>
          <t>SKÅNE LÄN</t>
        </is>
      </c>
      <c r="G22" t="inlineStr">
        <is>
          <t>SIMRISHAMN</t>
        </is>
      </c>
      <c r="I22" t="n">
        <v>1.9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Hasselmus</t>
        </is>
      </c>
      <c r="V22">
        <f>HYPERLINK("https://klasma.github.io/Logging_1291/artfynd/A 18002-2026 artfynd.xlsx", "A 18002-2026")</f>
        <v/>
      </c>
      <c r="W22">
        <f>HYPERLINK("https://klasma.github.io/Logging_1291/kartor/A 18002-2026 karta.png", "A 18002-2026")</f>
        <v/>
      </c>
      <c r="Y22">
        <f>HYPERLINK("https://klasma.github.io/Logging_1291/klagomål/A 18002-2026 FSC-klagomål.docx", "A 18002-2026")</f>
        <v/>
      </c>
      <c r="Z22">
        <f>HYPERLINK("https://klasma.github.io/Logging_1291/klagomålsmail/A 18002-2026 FSC-klagomål mail.docx", "A 18002-2026")</f>
        <v/>
      </c>
      <c r="AA22">
        <f>HYPERLINK("https://klasma.github.io/Logging_1291/tillsyn/A 18002-2026 tillsynsbegäran.docx", "A 18002-2026")</f>
        <v/>
      </c>
      <c r="AB22">
        <f>HYPERLINK("https://klasma.github.io/Logging_1291/tillsynsmail/A 18002-2026 tillsynsbegäran mail.docx", "A 18002-2026")</f>
        <v/>
      </c>
    </row>
    <row r="23" ht="15" customHeight="1">
      <c r="A23" t="inlineStr">
        <is>
          <t>S 3372-2024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45525</v>
      </c>
      <c r="E23" s="1" t="n">
        <v>46218</v>
      </c>
      <c r="F23" t="inlineStr">
        <is>
          <t>SKÅNE LÄN</t>
        </is>
      </c>
      <c r="G23" t="inlineStr">
        <is>
          <t>SIMRISHAMN</t>
        </is>
      </c>
      <c r="I23" t="n">
        <v>1.1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Vanlig padda</t>
        </is>
      </c>
      <c r="V23">
        <f>HYPERLINK("https://klasma.github.io/Logging_1291/artfynd/S 3372-2024 artfynd.xlsx", "S 3372-2024")</f>
        <v/>
      </c>
      <c r="W23">
        <f>HYPERLINK("https://klasma.github.io/Logging_1291/kartor/S 3372-2024 karta.png", "S 3372-2024")</f>
        <v/>
      </c>
      <c r="Y23">
        <f>HYPERLINK("https://klasma.github.io/Logging_1291/klagomål/S 3372-2024 FSC-klagomål.docx", "S 3372-2024")</f>
        <v/>
      </c>
      <c r="Z23">
        <f>HYPERLINK("https://klasma.github.io/Logging_1291/klagomålsmail/S 3372-2024 FSC-klagomål mail.docx", "S 3372-2024")</f>
        <v/>
      </c>
      <c r="AA23">
        <f>HYPERLINK("https://klasma.github.io/Logging_1291/tillsyn/S 3372-2024 tillsynsbegäran.docx", "S 3372-2024")</f>
        <v/>
      </c>
      <c r="AB23">
        <f>HYPERLINK("https://klasma.github.io/Logging_1291/tillsynsmail/S 3372-2024 tillsynsbegäran mail.docx", "S 3372-2024")</f>
        <v/>
      </c>
    </row>
    <row r="24" ht="15" customHeight="1">
      <c r="A24" t="inlineStr">
        <is>
          <t>S 300-2023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44953</v>
      </c>
      <c r="E24" s="1" t="n">
        <v>46218</v>
      </c>
      <c r="F24" t="inlineStr">
        <is>
          <t>SKÅNE LÄN</t>
        </is>
      </c>
      <c r="G24" t="inlineStr">
        <is>
          <t>SIMRISHAMN</t>
        </is>
      </c>
      <c r="I24" t="n">
        <v>19.9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s="2" t="inlineStr">
        <is>
          <t>Hasselmus</t>
        </is>
      </c>
      <c r="V24">
        <f>HYPERLINK("https://klasma.github.io/Logging_1291/artfynd/S 300-2023 artfynd.xlsx", "S 300-2023")</f>
        <v/>
      </c>
      <c r="W24">
        <f>HYPERLINK("https://klasma.github.io/Logging_1291/kartor/S 300-2023 karta.png", "S 300-2023")</f>
        <v/>
      </c>
      <c r="Y24">
        <f>HYPERLINK("https://klasma.github.io/Logging_1291/klagomål/S 300-2023 FSC-klagomål.docx", "S 300-2023")</f>
        <v/>
      </c>
      <c r="Z24">
        <f>HYPERLINK("https://klasma.github.io/Logging_1291/klagomålsmail/S 300-2023 FSC-klagomål mail.docx", "S 300-2023")</f>
        <v/>
      </c>
      <c r="AA24">
        <f>HYPERLINK("https://klasma.github.io/Logging_1291/tillsyn/S 300-2023 tillsynsbegäran.docx", "S 300-2023")</f>
        <v/>
      </c>
      <c r="AB24">
        <f>HYPERLINK("https://klasma.github.io/Logging_1291/tillsynsmail/S 300-2023 tillsynsbegäran mail.docx", "S 300-2023")</f>
        <v/>
      </c>
    </row>
    <row r="25" ht="15" customHeight="1">
      <c r="A25" t="inlineStr">
        <is>
          <t>A 7258-2022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44606</v>
      </c>
      <c r="E25" s="1" t="n">
        <v>46218</v>
      </c>
      <c r="F25" t="inlineStr">
        <is>
          <t>SKÅNE LÄN</t>
        </is>
      </c>
      <c r="G25" t="inlineStr">
        <is>
          <t>SIMRISHAMN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25822-2022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44733</v>
      </c>
      <c r="E26" s="1" t="n">
        <v>46218</v>
      </c>
      <c r="F26" t="inlineStr">
        <is>
          <t>SKÅNE LÄN</t>
        </is>
      </c>
      <c r="G26" t="inlineStr">
        <is>
          <t>SIMRISHAMN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20096-2024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45434</v>
      </c>
      <c r="E27" s="1" t="n">
        <v>46218</v>
      </c>
      <c r="F27" t="inlineStr">
        <is>
          <t>SKÅNE LÄN</t>
        </is>
      </c>
      <c r="G27" t="inlineStr">
        <is>
          <t>SIMRISHAMN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2554-2023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44943</v>
      </c>
      <c r="E28" s="1" t="n">
        <v>46218</v>
      </c>
      <c r="F28" t="inlineStr">
        <is>
          <t>SKÅNE LÄN</t>
        </is>
      </c>
      <c r="G28" t="inlineStr">
        <is>
          <t>SIMRISHAMN</t>
        </is>
      </c>
      <c r="I28" t="n">
        <v>0.1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42231-2023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45180</v>
      </c>
      <c r="E29" s="1" t="n">
        <v>46218</v>
      </c>
      <c r="F29" t="inlineStr">
        <is>
          <t>SKÅNE LÄN</t>
        </is>
      </c>
      <c r="G29" t="inlineStr">
        <is>
          <t>SIMRISHAMN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43851-2024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45572</v>
      </c>
      <c r="E30" s="1" t="n">
        <v>46218</v>
      </c>
      <c r="F30" t="inlineStr">
        <is>
          <t>SKÅNE LÄN</t>
        </is>
      </c>
      <c r="G30" t="inlineStr">
        <is>
          <t>SIMRISHAMN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62149-2022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44922</v>
      </c>
      <c r="E31" s="1" t="n">
        <v>46218</v>
      </c>
      <c r="F31" t="inlineStr">
        <is>
          <t>SKÅNE LÄN</t>
        </is>
      </c>
      <c r="G31" t="inlineStr">
        <is>
          <t>SIMRISHAMN</t>
        </is>
      </c>
      <c r="H31" t="inlineStr">
        <is>
          <t>Övriga Aktiebolag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7083-2024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45343</v>
      </c>
      <c r="E32" s="1" t="n">
        <v>46218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42016-2022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44827</v>
      </c>
      <c r="E33" s="1" t="n">
        <v>46218</v>
      </c>
      <c r="F33" t="inlineStr">
        <is>
          <t>SKÅNE LÄN</t>
        </is>
      </c>
      <c r="G33" t="inlineStr">
        <is>
          <t>SIMRISHAMN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3405-2024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45318</v>
      </c>
      <c r="E34" s="1" t="n">
        <v>46218</v>
      </c>
      <c r="F34" t="inlineStr">
        <is>
          <t>SKÅNE LÄN</t>
        </is>
      </c>
      <c r="G34" t="inlineStr">
        <is>
          <t>SIMRISHAMN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5488-2024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45334</v>
      </c>
      <c r="E35" s="1" t="n">
        <v>46218</v>
      </c>
      <c r="F35" t="inlineStr">
        <is>
          <t>SKÅNE LÄN</t>
        </is>
      </c>
      <c r="G35" t="inlineStr">
        <is>
          <t>SIMRISHAMN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4193-2024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45324</v>
      </c>
      <c r="E36" s="1" t="n">
        <v>46218</v>
      </c>
      <c r="F36" t="inlineStr">
        <is>
          <t>SKÅNE LÄN</t>
        </is>
      </c>
      <c r="G36" t="inlineStr">
        <is>
          <t>SIMRISHAMN</t>
        </is>
      </c>
      <c r="H36" t="inlineStr">
        <is>
          <t>Övriga Aktiebolag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39221-2023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45162</v>
      </c>
      <c r="E37" s="1" t="n">
        <v>46218</v>
      </c>
      <c r="F37" t="inlineStr">
        <is>
          <t>SKÅNE LÄN</t>
        </is>
      </c>
      <c r="G37" t="inlineStr">
        <is>
          <t>SIMRISHAMN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5028-2024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45329</v>
      </c>
      <c r="E38" s="1" t="n">
        <v>46218</v>
      </c>
      <c r="F38" t="inlineStr">
        <is>
          <t>SKÅNE LÄN</t>
        </is>
      </c>
      <c r="G38" t="inlineStr">
        <is>
          <t>SIMRISHAMN</t>
        </is>
      </c>
      <c r="H38" t="inlineStr">
        <is>
          <t>Övriga Aktiebolag</t>
        </is>
      </c>
      <c r="I38" t="n">
        <v>4.5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42374-2023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45180</v>
      </c>
      <c r="E39" s="1" t="n">
        <v>46218</v>
      </c>
      <c r="F39" t="inlineStr">
        <is>
          <t>SKÅNE LÄN</t>
        </is>
      </c>
      <c r="G39" t="inlineStr">
        <is>
          <t>SIMRISHAMN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8721-2023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44978</v>
      </c>
      <c r="E40" s="1" t="n">
        <v>46218</v>
      </c>
      <c r="F40" t="inlineStr">
        <is>
          <t>SKÅNE LÄN</t>
        </is>
      </c>
      <c r="G40" t="inlineStr">
        <is>
          <t>SIMRISHAMN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39834-2021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44417</v>
      </c>
      <c r="E41" s="1" t="n">
        <v>46218</v>
      </c>
      <c r="F41" t="inlineStr">
        <is>
          <t>SKÅNE LÄN</t>
        </is>
      </c>
      <c r="G41" t="inlineStr">
        <is>
          <t>SIMRISHAMN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61876-2024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45652</v>
      </c>
      <c r="E42" s="1" t="n">
        <v>46218</v>
      </c>
      <c r="F42" t="inlineStr">
        <is>
          <t>SKÅNE LÄN</t>
        </is>
      </c>
      <c r="G42" t="inlineStr">
        <is>
          <t>SIMRISHAMN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5224-2024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45330</v>
      </c>
      <c r="E43" s="1" t="n">
        <v>46218</v>
      </c>
      <c r="F43" t="inlineStr">
        <is>
          <t>SKÅNE LÄN</t>
        </is>
      </c>
      <c r="G43" t="inlineStr">
        <is>
          <t>SIMRISHAMN</t>
        </is>
      </c>
      <c r="H43" t="inlineStr">
        <is>
          <t>Övriga Aktiebolag</t>
        </is>
      </c>
      <c r="I43" t="n">
        <v>18.4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25475-2023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45089</v>
      </c>
      <c r="E44" s="1" t="n">
        <v>46218</v>
      </c>
      <c r="F44" t="inlineStr">
        <is>
          <t>SKÅNE LÄN</t>
        </is>
      </c>
      <c r="G44" t="inlineStr">
        <is>
          <t>SIMRISHAMN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18856-2024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45426</v>
      </c>
      <c r="E45" s="1" t="n">
        <v>46218</v>
      </c>
      <c r="F45" t="inlineStr">
        <is>
          <t>SKÅNE LÄN</t>
        </is>
      </c>
      <c r="G45" t="inlineStr">
        <is>
          <t>SIMRISHAMN</t>
        </is>
      </c>
      <c r="H45" t="inlineStr">
        <is>
          <t>Övriga Aktiebolag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15039-2024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45399</v>
      </c>
      <c r="E46" s="1" t="n">
        <v>46218</v>
      </c>
      <c r="F46" t="inlineStr">
        <is>
          <t>SKÅNE LÄN</t>
        </is>
      </c>
      <c r="G46" t="inlineStr">
        <is>
          <t>SIMRISHAMN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14000-2025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45740</v>
      </c>
      <c r="E47" s="1" t="n">
        <v>46218</v>
      </c>
      <c r="F47" t="inlineStr">
        <is>
          <t>SKÅNE LÄN</t>
        </is>
      </c>
      <c r="G47" t="inlineStr">
        <is>
          <t>SIMRISHAMN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17110-2025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45755</v>
      </c>
      <c r="E48" s="1" t="n">
        <v>46218</v>
      </c>
      <c r="F48" t="inlineStr">
        <is>
          <t>SKÅNE LÄN</t>
        </is>
      </c>
      <c r="G48" t="inlineStr">
        <is>
          <t>SIMRISHAMN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3602-2024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45320</v>
      </c>
      <c r="E49" s="1" t="n">
        <v>46218</v>
      </c>
      <c r="F49" t="inlineStr">
        <is>
          <t>SKÅNE LÄN</t>
        </is>
      </c>
      <c r="G49" t="inlineStr">
        <is>
          <t>SIMRISHAMN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26471-2023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45092</v>
      </c>
      <c r="E50" s="1" t="n">
        <v>46218</v>
      </c>
      <c r="F50" t="inlineStr">
        <is>
          <t>SKÅNE LÄN</t>
        </is>
      </c>
      <c r="G50" t="inlineStr">
        <is>
          <t>SIMRISHAMN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6006-2024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45336</v>
      </c>
      <c r="E51" s="1" t="n">
        <v>46218</v>
      </c>
      <c r="F51" t="inlineStr">
        <is>
          <t>SKÅNE LÄN</t>
        </is>
      </c>
      <c r="G51" t="inlineStr">
        <is>
          <t>SIMRISHAMN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38846-2024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45547</v>
      </c>
      <c r="E52" s="1" t="n">
        <v>46218</v>
      </c>
      <c r="F52" t="inlineStr">
        <is>
          <t>SKÅNE LÄN</t>
        </is>
      </c>
      <c r="G52" t="inlineStr">
        <is>
          <t>SIMRISHAMN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3402-2024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45318</v>
      </c>
      <c r="E53" s="1" t="n">
        <v>46218</v>
      </c>
      <c r="F53" t="inlineStr">
        <is>
          <t>SKÅNE LÄN</t>
        </is>
      </c>
      <c r="G53" t="inlineStr">
        <is>
          <t>SIMRISHAMN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3367-2024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45317</v>
      </c>
      <c r="E54" s="1" t="n">
        <v>46218</v>
      </c>
      <c r="F54" t="inlineStr">
        <is>
          <t>SKÅNE LÄN</t>
        </is>
      </c>
      <c r="G54" t="inlineStr">
        <is>
          <t>SIMRISHAMN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39015-2023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45162</v>
      </c>
      <c r="E55" s="1" t="n">
        <v>46218</v>
      </c>
      <c r="F55" t="inlineStr">
        <is>
          <t>SKÅNE LÄN</t>
        </is>
      </c>
      <c r="G55" t="inlineStr">
        <is>
          <t>SIMRISHAMN</t>
        </is>
      </c>
      <c r="I55" t="n">
        <v>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56820-2024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45628</v>
      </c>
      <c r="E56" s="1" t="n">
        <v>46218</v>
      </c>
      <c r="F56" t="inlineStr">
        <is>
          <t>SKÅNE LÄN</t>
        </is>
      </c>
      <c r="G56" t="inlineStr">
        <is>
          <t>SIMRISHAMN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56764-2024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45628</v>
      </c>
      <c r="E57" s="1" t="n">
        <v>46218</v>
      </c>
      <c r="F57" t="inlineStr">
        <is>
          <t>SKÅNE LÄN</t>
        </is>
      </c>
      <c r="G57" t="inlineStr">
        <is>
          <t>SIMRISHAMN</t>
        </is>
      </c>
      <c r="I57" t="n">
        <v>7.5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14702-2024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45397</v>
      </c>
      <c r="E58" s="1" t="n">
        <v>46218</v>
      </c>
      <c r="F58" t="inlineStr">
        <is>
          <t>SKÅNE LÄN</t>
        </is>
      </c>
      <c r="G58" t="inlineStr">
        <is>
          <t>SIMRISHAMN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28269-2025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45818</v>
      </c>
      <c r="E59" s="1" t="n">
        <v>46218</v>
      </c>
      <c r="F59" t="inlineStr">
        <is>
          <t>SKÅNE LÄN</t>
        </is>
      </c>
      <c r="G59" t="inlineStr">
        <is>
          <t>SIMRISHAMN</t>
        </is>
      </c>
      <c r="I59" t="n">
        <v>6.7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14104-2024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45392</v>
      </c>
      <c r="E60" s="1" t="n">
        <v>46218</v>
      </c>
      <c r="F60" t="inlineStr">
        <is>
          <t>SKÅNE LÄN</t>
        </is>
      </c>
      <c r="G60" t="inlineStr">
        <is>
          <t>SIMRISHAMN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14106-2024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45392</v>
      </c>
      <c r="E61" s="1" t="n">
        <v>46218</v>
      </c>
      <c r="F61" t="inlineStr">
        <is>
          <t>SKÅNE LÄN</t>
        </is>
      </c>
      <c r="G61" t="inlineStr">
        <is>
          <t>SIMRISHAMN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47874-2023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45204</v>
      </c>
      <c r="E62" s="1" t="n">
        <v>46218</v>
      </c>
      <c r="F62" t="inlineStr">
        <is>
          <t>SKÅNE LÄN</t>
        </is>
      </c>
      <c r="G62" t="inlineStr">
        <is>
          <t>SIMRISHAMN</t>
        </is>
      </c>
      <c r="H62" t="inlineStr">
        <is>
          <t>Övriga Aktiebolag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12000-2025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45728</v>
      </c>
      <c r="E63" s="1" t="n">
        <v>46218</v>
      </c>
      <c r="F63" t="inlineStr">
        <is>
          <t>SKÅNE LÄN</t>
        </is>
      </c>
      <c r="G63" t="inlineStr">
        <is>
          <t>SIMRISHAMN</t>
        </is>
      </c>
      <c r="H63" t="inlineStr">
        <is>
          <t>Övriga Aktiebolag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3393-2024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45318</v>
      </c>
      <c r="E64" s="1" t="n">
        <v>46218</v>
      </c>
      <c r="F64" t="inlineStr">
        <is>
          <t>SKÅNE LÄN</t>
        </is>
      </c>
      <c r="G64" t="inlineStr">
        <is>
          <t>SIMRISHAMN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3395-2024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45318</v>
      </c>
      <c r="E65" s="1" t="n">
        <v>46218</v>
      </c>
      <c r="F65" t="inlineStr">
        <is>
          <t>SKÅNE LÄN</t>
        </is>
      </c>
      <c r="G65" t="inlineStr">
        <is>
          <t>SIMRISHAMN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20950-2023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45061</v>
      </c>
      <c r="E66" s="1" t="n">
        <v>46218</v>
      </c>
      <c r="F66" t="inlineStr">
        <is>
          <t>SKÅNE LÄN</t>
        </is>
      </c>
      <c r="G66" t="inlineStr">
        <is>
          <t>SIMRISHAMN</t>
        </is>
      </c>
      <c r="I66" t="n">
        <v>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50138-2024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45600</v>
      </c>
      <c r="E67" s="1" t="n">
        <v>46218</v>
      </c>
      <c r="F67" t="inlineStr">
        <is>
          <t>SKÅNE LÄN</t>
        </is>
      </c>
      <c r="G67" t="inlineStr">
        <is>
          <t>SIMRISHAMN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53978-2022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44876</v>
      </c>
      <c r="E68" s="1" t="n">
        <v>46218</v>
      </c>
      <c r="F68" t="inlineStr">
        <is>
          <t>SKÅNE LÄN</t>
        </is>
      </c>
      <c r="G68" t="inlineStr">
        <is>
          <t>SIMRISHAMN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40584-2024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45555</v>
      </c>
      <c r="E69" s="1" t="n">
        <v>46218</v>
      </c>
      <c r="F69" t="inlineStr">
        <is>
          <t>SKÅNE LÄN</t>
        </is>
      </c>
      <c r="G69" t="inlineStr">
        <is>
          <t>SIMRISHAMN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63456-2023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45273</v>
      </c>
      <c r="E70" s="1" t="n">
        <v>46218</v>
      </c>
      <c r="F70" t="inlineStr">
        <is>
          <t>SKÅNE LÄN</t>
        </is>
      </c>
      <c r="G70" t="inlineStr">
        <is>
          <t>SIMRISHAMN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45946-2022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44845</v>
      </c>
      <c r="E71" s="1" t="n">
        <v>46218</v>
      </c>
      <c r="F71" t="inlineStr">
        <is>
          <t>SKÅNE LÄN</t>
        </is>
      </c>
      <c r="G71" t="inlineStr">
        <is>
          <t>SIMRISHAMN</t>
        </is>
      </c>
      <c r="I71" t="n">
        <v>14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19141-2025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45769</v>
      </c>
      <c r="E72" s="1" t="n">
        <v>46218</v>
      </c>
      <c r="F72" t="inlineStr">
        <is>
          <t>SKÅNE LÄN</t>
        </is>
      </c>
      <c r="G72" t="inlineStr">
        <is>
          <t>SIMRISHAMN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19435-2024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45429</v>
      </c>
      <c r="E73" s="1" t="n">
        <v>46218</v>
      </c>
      <c r="F73" t="inlineStr">
        <is>
          <t>SKÅNE LÄN</t>
        </is>
      </c>
      <c r="G73" t="inlineStr">
        <is>
          <t>SIMRISHAMN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55504-2025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45971</v>
      </c>
      <c r="E74" s="1" t="n">
        <v>46218</v>
      </c>
      <c r="F74" t="inlineStr">
        <is>
          <t>SKÅNE LÄN</t>
        </is>
      </c>
      <c r="G74" t="inlineStr">
        <is>
          <t>SIMRISHAMN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30911-2024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45498</v>
      </c>
      <c r="E75" s="1" t="n">
        <v>46218</v>
      </c>
      <c r="F75" t="inlineStr">
        <is>
          <t>SKÅNE LÄN</t>
        </is>
      </c>
      <c r="G75" t="inlineStr">
        <is>
          <t>SIMRISHAMN</t>
        </is>
      </c>
      <c r="H75" t="inlineStr">
        <is>
          <t>Övriga Aktiebolag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7072-2024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45343</v>
      </c>
      <c r="E76" s="1" t="n">
        <v>46218</v>
      </c>
      <c r="F76" t="inlineStr">
        <is>
          <t>SKÅNE LÄN</t>
        </is>
      </c>
      <c r="G76" t="inlineStr">
        <is>
          <t>SIMRISHAMN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58985-2022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44903</v>
      </c>
      <c r="E77" s="1" t="n">
        <v>46218</v>
      </c>
      <c r="F77" t="inlineStr">
        <is>
          <t>SKÅNE LÄN</t>
        </is>
      </c>
      <c r="G77" t="inlineStr">
        <is>
          <t>SIMRISHAMN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43724-2024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45569</v>
      </c>
      <c r="E78" s="1" t="n">
        <v>46218</v>
      </c>
      <c r="F78" t="inlineStr">
        <is>
          <t>SKÅNE LÄN</t>
        </is>
      </c>
      <c r="G78" t="inlineStr">
        <is>
          <t>SIMRISHAMN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14103-2024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45392</v>
      </c>
      <c r="E79" s="1" t="n">
        <v>46218</v>
      </c>
      <c r="F79" t="inlineStr">
        <is>
          <t>SKÅNE LÄN</t>
        </is>
      </c>
      <c r="G79" t="inlineStr">
        <is>
          <t>SIMRISHAMN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30667-2023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45112</v>
      </c>
      <c r="E80" s="1" t="n">
        <v>46218</v>
      </c>
      <c r="F80" t="inlineStr">
        <is>
          <t>SKÅNE LÄN</t>
        </is>
      </c>
      <c r="G80" t="inlineStr">
        <is>
          <t>SIMRISHAMN</t>
        </is>
      </c>
      <c r="H80" t="inlineStr">
        <is>
          <t>Övriga Aktiebolag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32488-2025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45838</v>
      </c>
      <c r="E81" s="1" t="n">
        <v>46218</v>
      </c>
      <c r="F81" t="inlineStr">
        <is>
          <t>SKÅNE LÄN</t>
        </is>
      </c>
      <c r="G81" t="inlineStr">
        <is>
          <t>SIMRISHAMN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14994-2022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44657</v>
      </c>
      <c r="E82" s="1" t="n">
        <v>46218</v>
      </c>
      <c r="F82" t="inlineStr">
        <is>
          <t>SKÅNE LÄN</t>
        </is>
      </c>
      <c r="G82" t="inlineStr">
        <is>
          <t>SIMRISHAMN</t>
        </is>
      </c>
      <c r="H82" t="inlineStr">
        <is>
          <t>Övriga Aktiebolag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6830-2025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45700</v>
      </c>
      <c r="E83" s="1" t="n">
        <v>46218</v>
      </c>
      <c r="F83" t="inlineStr">
        <is>
          <t>SKÅNE LÄN</t>
        </is>
      </c>
      <c r="G83" t="inlineStr">
        <is>
          <t>SIMRISHAMN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7584-2024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45348</v>
      </c>
      <c r="E84" s="1" t="n">
        <v>46218</v>
      </c>
      <c r="F84" t="inlineStr">
        <is>
          <t>SKÅNE LÄN</t>
        </is>
      </c>
      <c r="G84" t="inlineStr">
        <is>
          <t>SIMRISHAMN</t>
        </is>
      </c>
      <c r="I84" t="n">
        <v>6.9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18682-2023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45043</v>
      </c>
      <c r="E85" s="1" t="n">
        <v>46218</v>
      </c>
      <c r="F85" t="inlineStr">
        <is>
          <t>SKÅNE LÄN</t>
        </is>
      </c>
      <c r="G85" t="inlineStr">
        <is>
          <t>SIMRISHAMN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60059-2025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45993</v>
      </c>
      <c r="E86" s="1" t="n">
        <v>46218</v>
      </c>
      <c r="F86" t="inlineStr">
        <is>
          <t>SKÅNE LÄN</t>
        </is>
      </c>
      <c r="G86" t="inlineStr">
        <is>
          <t>SIMRISHAMN</t>
        </is>
      </c>
      <c r="H86" t="inlineStr">
        <is>
          <t>Övriga Aktiebolag</t>
        </is>
      </c>
      <c r="I86" t="n">
        <v>7.8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37189-2025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45875</v>
      </c>
      <c r="E87" s="1" t="n">
        <v>46218</v>
      </c>
      <c r="F87" t="inlineStr">
        <is>
          <t>SKÅNE LÄN</t>
        </is>
      </c>
      <c r="G87" t="inlineStr">
        <is>
          <t>SIMRISHAMN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3404-2024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45318</v>
      </c>
      <c r="E88" s="1" t="n">
        <v>46218</v>
      </c>
      <c r="F88" t="inlineStr">
        <is>
          <t>SKÅNE LÄN</t>
        </is>
      </c>
      <c r="G88" t="inlineStr">
        <is>
          <t>SIMRISHAMN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39238-2023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45162</v>
      </c>
      <c r="E89" s="1" t="n">
        <v>46218</v>
      </c>
      <c r="F89" t="inlineStr">
        <is>
          <t>SKÅNE LÄN</t>
        </is>
      </c>
      <c r="G89" t="inlineStr">
        <is>
          <t>SIMRISHAMN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23287-2022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44720</v>
      </c>
      <c r="E90" s="1" t="n">
        <v>46218</v>
      </c>
      <c r="F90" t="inlineStr">
        <is>
          <t>SKÅNE LÄN</t>
        </is>
      </c>
      <c r="G90" t="inlineStr">
        <is>
          <t>SIMRISHAMN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17102-2025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45755</v>
      </c>
      <c r="E91" s="1" t="n">
        <v>46218</v>
      </c>
      <c r="F91" t="inlineStr">
        <is>
          <t>SKÅNE LÄN</t>
        </is>
      </c>
      <c r="G91" t="inlineStr">
        <is>
          <t>SIMRISHAMN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35692-2024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45532</v>
      </c>
      <c r="E92" s="1" t="n">
        <v>46218</v>
      </c>
      <c r="F92" t="inlineStr">
        <is>
          <t>SKÅNE LÄN</t>
        </is>
      </c>
      <c r="G92" t="inlineStr">
        <is>
          <t>SIMRISHAMN</t>
        </is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3604-2024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45320</v>
      </c>
      <c r="E93" s="1" t="n">
        <v>46218</v>
      </c>
      <c r="F93" t="inlineStr">
        <is>
          <t>SKÅNE LÄN</t>
        </is>
      </c>
      <c r="G93" t="inlineStr">
        <is>
          <t>SIMRISHAMN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62413-2022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44923</v>
      </c>
      <c r="E94" s="1" t="n">
        <v>46218</v>
      </c>
      <c r="F94" t="inlineStr">
        <is>
          <t>SKÅNE LÄN</t>
        </is>
      </c>
      <c r="G94" t="inlineStr">
        <is>
          <t>SIMRISHAMN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1910-2026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46035</v>
      </c>
      <c r="E95" s="1" t="n">
        <v>46218</v>
      </c>
      <c r="F95" t="inlineStr">
        <is>
          <t>SKÅNE LÄN</t>
        </is>
      </c>
      <c r="G95" t="inlineStr">
        <is>
          <t>SIMRISHAMN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37052-2025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45875</v>
      </c>
      <c r="E96" s="1" t="n">
        <v>46218</v>
      </c>
      <c r="F96" t="inlineStr">
        <is>
          <t>SKÅNE LÄN</t>
        </is>
      </c>
      <c r="G96" t="inlineStr">
        <is>
          <t>SIMRISHAMN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62316-2025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46006</v>
      </c>
      <c r="E97" s="1" t="n">
        <v>46218</v>
      </c>
      <c r="F97" t="inlineStr">
        <is>
          <t>SKÅNE LÄN</t>
        </is>
      </c>
      <c r="G97" t="inlineStr">
        <is>
          <t>SIMRISHAMN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18005-2026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46125</v>
      </c>
      <c r="E98" s="1" t="n">
        <v>46218</v>
      </c>
      <c r="F98" t="inlineStr">
        <is>
          <t>SKÅNE LÄN</t>
        </is>
      </c>
      <c r="G98" t="inlineStr">
        <is>
          <t>SIMRISHAMN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S 2097-2025</t>
        </is>
      </c>
      <c r="B99" t="inlineStr">
        <is>
          <t>samrådsanmälan</t>
        </is>
      </c>
      <c r="C99" t="inlineStr">
        <is>
          <t>Askåterföring</t>
        </is>
      </c>
      <c r="D99" s="1" t="n">
        <v>45842</v>
      </c>
      <c r="E99" s="1" t="n">
        <v>46218</v>
      </c>
      <c r="F99" t="inlineStr">
        <is>
          <t>SKÅNE LÄN</t>
        </is>
      </c>
      <c r="G99" t="inlineStr">
        <is>
          <t>SIMRISHAMN</t>
        </is>
      </c>
      <c r="I99" t="n">
        <v>9.4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>
      <c r="A100" t="inlineStr">
        <is>
          <t>S 458-2026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46073</v>
      </c>
      <c r="E100" s="1" t="n">
        <v>46218</v>
      </c>
      <c r="F100" t="inlineStr">
        <is>
          <t>SKÅNE LÄN</t>
        </is>
      </c>
      <c r="G100" t="inlineStr">
        <is>
          <t>SIMRISHAMN</t>
        </is>
      </c>
      <c r="I100" t="n">
        <v>11.5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2026-07-15T01:25:19Z</dcterms:created>
  <dcterms:modified xmlns:dcterms="http://purl.org/dc/terms/" xmlns:xsi="http://www.w3.org/2001/XMLSchema-instance" xsi:type="dcterms:W3CDTF">2026-07-15T01:25:19Z</dcterms:modified>
</cp:coreProperties>
</file>