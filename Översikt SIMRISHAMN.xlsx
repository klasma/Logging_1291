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46265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46265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46265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46265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46265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46265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46265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46265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46265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46265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46265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7082-2024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46265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22.7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Småvänderot</t>
        </is>
      </c>
      <c r="W13">
        <f>HYPERLINK("https://klasma.github.io/Logging_1291/artfynd/A 7082-2024 artfynd.xlsx", "A 7082-2024")</f>
        <v/>
      </c>
      <c r="X13">
        <f>HYPERLINK("https://klasma.github.io/Logging_1291/kartor/A 7082-2024 karta.png", "A 7082-2024")</f>
        <v/>
      </c>
      <c r="Y13">
        <f>HYPERLINK("https://klasma.github.io/Logging_1291/kartor_geotiff/A 7082-2024 georefererad karta.tif", "A 7082-2024")</f>
        <v/>
      </c>
      <c r="AA13">
        <f>HYPERLINK("https://klasma.github.io/Logging_1291/klagomål/A 7082-2024 FSC-klagomål.docx", "A 7082-2024")</f>
        <v/>
      </c>
      <c r="AB13">
        <f>HYPERLINK("https://klasma.github.io/Logging_1291/klagomålsmail/A 7082-2024 FSC-klagomål mail.docx", "A 7082-2024")</f>
        <v/>
      </c>
      <c r="AC13">
        <f>HYPERLINK("https://klasma.github.io/Logging_1291/tillsyn/A 7082-2024 tillsynsbegäran.docx", "A 7082-2024")</f>
        <v/>
      </c>
      <c r="AD13">
        <f>HYPERLINK("https://klasma.github.io/Logging_1291/tillsynsmail/A 7082-2024 tillsynsbegäran mail.docx", "A 7082-2024")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46265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20090-2024 artfynd.xlsx", "A 20090-2024")</f>
        <v/>
      </c>
      <c r="X14">
        <f>HYPERLINK("https://klasma.github.io/Logging_1291/kartor/A 20090-2024 karta.png", "A 20090-2024")</f>
        <v/>
      </c>
      <c r="Y14">
        <f>HYPERLINK("https://klasma.github.io/Logging_1291/kartor_geotiff/A 20090-2024 georefererad karta.tif", "A 20090-2024")</f>
        <v/>
      </c>
      <c r="AA14">
        <f>HYPERLINK("https://klasma.github.io/Logging_1291/klagomål/A 20090-2024 FSC-klagomål.docx", "A 20090-2024")</f>
        <v/>
      </c>
      <c r="AB14">
        <f>HYPERLINK("https://klasma.github.io/Logging_1291/klagomålsmail/A 20090-2024 FSC-klagomål mail.docx", "A 20090-2024")</f>
        <v/>
      </c>
      <c r="AC14">
        <f>HYPERLINK("https://klasma.github.io/Logging_1291/tillsyn/A 20090-2024 tillsynsbegäran.docx", "A 20090-2024")</f>
        <v/>
      </c>
      <c r="AD14">
        <f>HYPERLINK("https://klasma.github.io/Logging_1291/tillsynsmail/A 20090-2024 tillsynsbegäran mail.docx", "A 20090-2024")</f>
        <v/>
      </c>
    </row>
    <row r="15" ht="15" customHeight="1">
      <c r="A15" t="inlineStr">
        <is>
          <t>A 50134-2024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46265</v>
      </c>
      <c r="F15" t="inlineStr">
        <is>
          <t>SKÅNE LÄN</t>
        </is>
      </c>
      <c r="G15" t="inlineStr">
        <is>
          <t>SIMRISHAMN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50134-2024 artfynd.xlsx", "A 50134-2024")</f>
        <v/>
      </c>
      <c r="X15">
        <f>HYPERLINK("https://klasma.github.io/Logging_1291/kartor/A 50134-2024 karta.png", "A 50134-2024")</f>
        <v/>
      </c>
      <c r="Y15">
        <f>HYPERLINK("https://klasma.github.io/Logging_1291/kartor_geotiff/A 50134-2024 georefererad karta.tif", "A 50134-2024")</f>
        <v/>
      </c>
      <c r="AA15">
        <f>HYPERLINK("https://klasma.github.io/Logging_1291/klagomål/A 50134-2024 FSC-klagomål.docx", "A 50134-2024")</f>
        <v/>
      </c>
      <c r="AB15">
        <f>HYPERLINK("https://klasma.github.io/Logging_1291/klagomålsmail/A 50134-2024 FSC-klagomål mail.docx", "A 50134-2024")</f>
        <v/>
      </c>
      <c r="AC15">
        <f>HYPERLINK("https://klasma.github.io/Logging_1291/tillsyn/A 50134-2024 tillsynsbegäran.docx", "A 50134-2024")</f>
        <v/>
      </c>
      <c r="AD15">
        <f>HYPERLINK("https://klasma.github.io/Logging_1291/tillsynsmail/A 50134-2024 tillsynsbegäran mail.docx", "A 50134-2024")</f>
        <v/>
      </c>
    </row>
    <row r="16" ht="15" customHeight="1">
      <c r="A16" t="inlineStr">
        <is>
          <t>A 17038-2026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46265</v>
      </c>
      <c r="F16" t="inlineStr">
        <is>
          <t>SKÅNE LÄN</t>
        </is>
      </c>
      <c r="G16" t="inlineStr">
        <is>
          <t>SIMRISHAMN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Hasselmus</t>
        </is>
      </c>
      <c r="W16">
        <f>HYPERLINK("https://klasma.github.io/Logging_1291/artfynd/A 17038-2026 artfynd.xlsx", "A 17038-2026")</f>
        <v/>
      </c>
      <c r="X16">
        <f>HYPERLINK("https://klasma.github.io/Logging_1291/kartor/A 17038-2026 karta.png", "A 17038-2026")</f>
        <v/>
      </c>
      <c r="Y16">
        <f>HYPERLINK("https://klasma.github.io/Logging_1291/kartor_geotiff/A 17038-2026 georefererad karta.tif", "A 17038-2026")</f>
        <v/>
      </c>
      <c r="AA16">
        <f>HYPERLINK("https://klasma.github.io/Logging_1291/klagomål/A 17038-2026 FSC-klagomål.docx", "A 17038-2026")</f>
        <v/>
      </c>
      <c r="AB16">
        <f>HYPERLINK("https://klasma.github.io/Logging_1291/klagomålsmail/A 17038-2026 FSC-klagomål mail.docx", "A 17038-2026")</f>
        <v/>
      </c>
      <c r="AC16">
        <f>HYPERLINK("https://klasma.github.io/Logging_1291/tillsyn/A 17038-2026 tillsynsbegäran.docx", "A 17038-2026")</f>
        <v/>
      </c>
      <c r="AD16">
        <f>HYPERLINK("https://klasma.github.io/Logging_1291/tillsynsmail/A 17038-2026 tillsynsbegäran mail.docx", "A 17038-2026")</f>
        <v/>
      </c>
    </row>
    <row r="17" ht="15" customHeight="1">
      <c r="A17" t="inlineStr">
        <is>
          <t>A 17022-2026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46265</v>
      </c>
      <c r="F17" t="inlineStr">
        <is>
          <t>SKÅNE LÄN</t>
        </is>
      </c>
      <c r="G17" t="inlineStr">
        <is>
          <t>SIMRISHAMN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4</v>
      </c>
      <c r="U17" t="n">
        <v>0</v>
      </c>
      <c r="V17" s="2" t="inlineStr">
        <is>
          <t>Hasselmus</t>
        </is>
      </c>
      <c r="W17">
        <f>HYPERLINK("https://klasma.github.io/Logging_1291/artfynd/A 17022-2026 artfynd.xlsx", "A 17022-2026")</f>
        <v/>
      </c>
      <c r="X17">
        <f>HYPERLINK("https://klasma.github.io/Logging_1291/kartor/A 17022-2026 karta.png", "A 17022-2026")</f>
        <v/>
      </c>
      <c r="Y17">
        <f>HYPERLINK("https://klasma.github.io/Logging_1291/kartor_geotiff/A 17022-2026 georefererad karta.tif", "A 17022-2026")</f>
        <v/>
      </c>
      <c r="AA17">
        <f>HYPERLINK("https://klasma.github.io/Logging_1291/klagomål/A 17022-2026 FSC-klagomål.docx", "A 17022-2026")</f>
        <v/>
      </c>
      <c r="AB17">
        <f>HYPERLINK("https://klasma.github.io/Logging_1291/klagomålsmail/A 17022-2026 FSC-klagomål mail.docx", "A 17022-2026")</f>
        <v/>
      </c>
      <c r="AC17">
        <f>HYPERLINK("https://klasma.github.io/Logging_1291/tillsyn/A 17022-2026 tillsynsbegäran.docx", "A 17022-2026")</f>
        <v/>
      </c>
      <c r="AD17">
        <f>HYPERLINK("https://klasma.github.io/Logging_1291/tillsynsmail/A 17022-2026 tillsynsbegäran mail.docx", "A 17022-2026")</f>
        <v/>
      </c>
    </row>
    <row r="18" ht="15" customHeight="1">
      <c r="A18" t="inlineStr">
        <is>
          <t>A 18002-2026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46265</v>
      </c>
      <c r="F18" t="inlineStr">
        <is>
          <t>SKÅNE LÄN</t>
        </is>
      </c>
      <c r="G18" t="inlineStr">
        <is>
          <t>SIMRISHAMN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18002-2026 artfynd.xlsx", "A 18002-2026")</f>
        <v/>
      </c>
      <c r="X18">
        <f>HYPERLINK("https://klasma.github.io/Logging_1291/kartor/A 18002-2026 karta.png", "A 18002-2026")</f>
        <v/>
      </c>
      <c r="Y18">
        <f>HYPERLINK("https://klasma.github.io/Logging_1291/kartor_geotiff/A 18002-2026 georefererad karta.tif", "A 18002-2026")</f>
        <v/>
      </c>
      <c r="AA18">
        <f>HYPERLINK("https://klasma.github.io/Logging_1291/klagomål/A 18002-2026 FSC-klagomål.docx", "A 18002-2026")</f>
        <v/>
      </c>
      <c r="AB18">
        <f>HYPERLINK("https://klasma.github.io/Logging_1291/klagomålsmail/A 18002-2026 FSC-klagomål mail.docx", "A 18002-2026")</f>
        <v/>
      </c>
      <c r="AC18">
        <f>HYPERLINK("https://klasma.github.io/Logging_1291/tillsyn/A 18002-2026 tillsynsbegäran.docx", "A 18002-2026")</f>
        <v/>
      </c>
      <c r="AD18">
        <f>HYPERLINK("https://klasma.github.io/Logging_1291/tillsynsmail/A 18002-2026 tillsynsbegäran mail.docx", "A 18002-2026")</f>
        <v/>
      </c>
    </row>
    <row r="19" ht="15" customHeight="1">
      <c r="A19" t="inlineStr">
        <is>
          <t>A 45802-2022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46265</v>
      </c>
      <c r="F19" t="inlineStr">
        <is>
          <t>SKÅNE LÄN</t>
        </is>
      </c>
      <c r="G19" t="inlineStr">
        <is>
          <t>SIMRISHAMN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Hartsticka</t>
        </is>
      </c>
      <c r="W19">
        <f>HYPERLINK("https://klasma.github.io/Logging_1291/artfynd/A 45802-2022 artfynd.xlsx", "A 45802-2022")</f>
        <v/>
      </c>
      <c r="X19">
        <f>HYPERLINK("https://klasma.github.io/Logging_1291/kartor/A 45802-2022 karta.png", "A 45802-2022")</f>
        <v/>
      </c>
      <c r="Y19">
        <f>HYPERLINK("https://klasma.github.io/Logging_1291/kartor_geotiff/A 45802-2022 georefererad karta.tif", "A 45802-2022")</f>
        <v/>
      </c>
      <c r="AA19">
        <f>HYPERLINK("https://klasma.github.io/Logging_1291/klagomål/A 45802-2022 FSC-klagomål.docx", "A 45802-2022")</f>
        <v/>
      </c>
      <c r="AB19">
        <f>HYPERLINK("https://klasma.github.io/Logging_1291/klagomålsmail/A 45802-2022 FSC-klagomål mail.docx", "A 45802-2022")</f>
        <v/>
      </c>
      <c r="AC19">
        <f>HYPERLINK("https://klasma.github.io/Logging_1291/tillsyn/A 45802-2022 tillsynsbegäran.docx", "A 45802-2022")</f>
        <v/>
      </c>
      <c r="AD19">
        <f>HYPERLINK("https://klasma.github.io/Logging_1291/tillsynsmail/A 45802-2022 tillsynsbegäran mail.docx", "A 45802-2022")</f>
        <v/>
      </c>
    </row>
    <row r="20" ht="15" customHeight="1">
      <c r="A20" t="inlineStr">
        <is>
          <t>A 22194-2023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46265</v>
      </c>
      <c r="F20" t="inlineStr">
        <is>
          <t>SKÅNE LÄN</t>
        </is>
      </c>
      <c r="G20" t="inlineStr">
        <is>
          <t>SIMRISHAMN</t>
        </is>
      </c>
      <c r="H20" t="inlineStr">
        <is>
          <t>Övriga Aktiebolag</t>
        </is>
      </c>
      <c r="I20" t="n">
        <v>11.4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Sandödla</t>
        </is>
      </c>
      <c r="W20">
        <f>HYPERLINK("https://klasma.github.io/Logging_1291/artfynd/A 22194-2023 artfynd.xlsx", "A 22194-2023")</f>
        <v/>
      </c>
      <c r="X20">
        <f>HYPERLINK("https://klasma.github.io/Logging_1291/kartor/A 22194-2023 karta.png", "A 22194-2023")</f>
        <v/>
      </c>
      <c r="Y20">
        <f>HYPERLINK("https://klasma.github.io/Logging_1291/kartor_geotiff/A 22194-2023 georefererad karta.tif", "A 22194-2023")</f>
        <v/>
      </c>
      <c r="AA20">
        <f>HYPERLINK("https://klasma.github.io/Logging_1291/klagomål/A 22194-2023 FSC-klagomål.docx", "A 22194-2023")</f>
        <v/>
      </c>
      <c r="AB20">
        <f>HYPERLINK("https://klasma.github.io/Logging_1291/klagomålsmail/A 22194-2023 FSC-klagomål mail.docx", "A 22194-2023")</f>
        <v/>
      </c>
      <c r="AC20">
        <f>HYPERLINK("https://klasma.github.io/Logging_1291/tillsyn/A 22194-2023 tillsynsbegäran.docx", "A 22194-2023")</f>
        <v/>
      </c>
      <c r="AD20">
        <f>HYPERLINK("https://klasma.github.io/Logging_1291/tillsynsmail/A 22194-2023 tillsynsbegäran mail.docx", "A 22194-2023")</f>
        <v/>
      </c>
    </row>
    <row r="21" ht="15" customHeight="1">
      <c r="A21" t="inlineStr">
        <is>
          <t>A 16258-2024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45407</v>
      </c>
      <c r="E21" s="1" t="n">
        <v>46265</v>
      </c>
      <c r="F21" t="inlineStr">
        <is>
          <t>SKÅNE LÄN</t>
        </is>
      </c>
      <c r="G21" t="inlineStr">
        <is>
          <t>SIMRISHAMN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16258-2024 artfynd.xlsx", "A 16258-2024")</f>
        <v/>
      </c>
      <c r="X21">
        <f>HYPERLINK("https://klasma.github.io/Logging_1291/kartor/A 16258-2024 karta.png", "A 16258-2024")</f>
        <v/>
      </c>
      <c r="Y21">
        <f>HYPERLINK("https://klasma.github.io/Logging_1291/kartor_geotiff/A 16258-2024 georefererad karta.tif", "A 16258-2024")</f>
        <v/>
      </c>
      <c r="AA21">
        <f>HYPERLINK("https://klasma.github.io/Logging_1291/klagomål/A 16258-2024 FSC-klagomål.docx", "A 16258-2024")</f>
        <v/>
      </c>
      <c r="AB21">
        <f>HYPERLINK("https://klasma.github.io/Logging_1291/klagomålsmail/A 16258-2024 FSC-klagomål mail.docx", "A 16258-2024")</f>
        <v/>
      </c>
      <c r="AC21">
        <f>HYPERLINK("https://klasma.github.io/Logging_1291/tillsyn/A 16258-2024 tillsynsbegäran.docx", "A 16258-2024")</f>
        <v/>
      </c>
      <c r="AD21">
        <f>HYPERLINK("https://klasma.github.io/Logging_1291/tillsynsmail/A 16258-2024 tillsynsbegäran mail.docx", "A 16258-2024")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46265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46265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46265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46265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46265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46265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46265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46265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47874-2023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45204</v>
      </c>
      <c r="E30" s="1" t="n">
        <v>46265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46265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46265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55504-2025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46265</v>
      </c>
      <c r="F33" t="inlineStr">
        <is>
          <t>SKÅNE LÄN</t>
        </is>
      </c>
      <c r="G33" t="inlineStr">
        <is>
          <t>SIMRISHAMN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46265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40584-2024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45555</v>
      </c>
      <c r="E35" s="1" t="n">
        <v>46265</v>
      </c>
      <c r="F35" t="inlineStr">
        <is>
          <t>SKÅNE LÄN</t>
        </is>
      </c>
      <c r="G35" t="inlineStr">
        <is>
          <t>SIMRISHAMN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44978</v>
      </c>
      <c r="E36" s="1" t="n">
        <v>46265</v>
      </c>
      <c r="F36" t="inlineStr">
        <is>
          <t>SKÅNE LÄN</t>
        </is>
      </c>
      <c r="G36" t="inlineStr">
        <is>
          <t>SIMRISHAMN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30911-2024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45498</v>
      </c>
      <c r="E37" s="1" t="n">
        <v>46265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25475-2023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46265</v>
      </c>
      <c r="F38" t="inlineStr">
        <is>
          <t>SKÅNE LÄN</t>
        </is>
      </c>
      <c r="G38" t="inlineStr">
        <is>
          <t>SIMRISHAMN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60059-2025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45993</v>
      </c>
      <c r="E39" s="1" t="n">
        <v>46265</v>
      </c>
      <c r="F39" t="inlineStr">
        <is>
          <t>SKÅNE LÄN</t>
        </is>
      </c>
      <c r="G39" t="inlineStr">
        <is>
          <t>SIMRISHAMN</t>
        </is>
      </c>
      <c r="H39" t="inlineStr">
        <is>
          <t>Övriga Aktiebolag</t>
        </is>
      </c>
      <c r="I39" t="n">
        <v>7.8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28269-2025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46265</v>
      </c>
      <c r="F40" t="inlineStr">
        <is>
          <t>SKÅNE LÄN</t>
        </is>
      </c>
      <c r="G40" t="inlineStr">
        <is>
          <t>SIMRISHAMN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45343</v>
      </c>
      <c r="E41" s="1" t="n">
        <v>46265</v>
      </c>
      <c r="F41" t="inlineStr">
        <is>
          <t>SKÅNE LÄN</t>
        </is>
      </c>
      <c r="G41" t="inlineStr">
        <is>
          <t>SIMRISHAMN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44657</v>
      </c>
      <c r="E42" s="1" t="n">
        <v>46265</v>
      </c>
      <c r="F42" t="inlineStr">
        <is>
          <t>SKÅNE LÄN</t>
        </is>
      </c>
      <c r="G42" t="inlineStr">
        <is>
          <t>SIMRISHAMN</t>
        </is>
      </c>
      <c r="H42" t="inlineStr">
        <is>
          <t>Övriga Aktiebolag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45426</v>
      </c>
      <c r="E43" s="1" t="n">
        <v>46265</v>
      </c>
      <c r="F43" t="inlineStr">
        <is>
          <t>SKÅNE LÄN</t>
        </is>
      </c>
      <c r="G43" t="inlineStr">
        <is>
          <t>SIMRISHAMN</t>
        </is>
      </c>
      <c r="H43" t="inlineStr">
        <is>
          <t>Övriga Aktiebolag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45700</v>
      </c>
      <c r="E44" s="1" t="n">
        <v>46265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46265</v>
      </c>
      <c r="F45" t="inlineStr">
        <is>
          <t>SKÅNE LÄN</t>
        </is>
      </c>
      <c r="G45" t="inlineStr">
        <is>
          <t>SIMRISHAMN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37189-2025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45875</v>
      </c>
      <c r="E46" s="1" t="n">
        <v>46265</v>
      </c>
      <c r="F46" t="inlineStr">
        <is>
          <t>SKÅNE LÄN</t>
        </is>
      </c>
      <c r="G46" t="inlineStr">
        <is>
          <t>SIMRISHAMN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63456-2023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45273</v>
      </c>
      <c r="E47" s="1" t="n">
        <v>46265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14000-2025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46265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45043</v>
      </c>
      <c r="E49" s="1" t="n">
        <v>46265</v>
      </c>
      <c r="F49" t="inlineStr">
        <is>
          <t>SKÅNE LÄN</t>
        </is>
      </c>
      <c r="G49" t="inlineStr">
        <is>
          <t>SIMRISHAMN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45317</v>
      </c>
      <c r="E50" s="1" t="n">
        <v>46265</v>
      </c>
      <c r="F50" t="inlineStr">
        <is>
          <t>SKÅNE LÄN</t>
        </is>
      </c>
      <c r="G50" t="inlineStr">
        <is>
          <t>SIMRISHAMN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45547</v>
      </c>
      <c r="E51" s="1" t="n">
        <v>46265</v>
      </c>
      <c r="F51" t="inlineStr">
        <is>
          <t>SKÅNE LÄN</t>
        </is>
      </c>
      <c r="G51" t="inlineStr">
        <is>
          <t>SIMRISHAMN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45429</v>
      </c>
      <c r="E52" s="1" t="n">
        <v>46265</v>
      </c>
      <c r="F52" t="inlineStr">
        <is>
          <t>SKÅNE LÄN</t>
        </is>
      </c>
      <c r="G52" t="inlineStr">
        <is>
          <t>SIMRISHAMN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46265</v>
      </c>
      <c r="F53" t="inlineStr">
        <is>
          <t>SKÅNE LÄN</t>
        </is>
      </c>
      <c r="G53" t="inlineStr">
        <is>
          <t>SIMRISHAMN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46265</v>
      </c>
      <c r="F54" t="inlineStr">
        <is>
          <t>SKÅNE LÄN</t>
        </is>
      </c>
      <c r="G54" t="inlineStr">
        <is>
          <t>SIMRISHAMN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46035</v>
      </c>
      <c r="E55" s="1" t="n">
        <v>46265</v>
      </c>
      <c r="F55" t="inlineStr">
        <is>
          <t>SKÅNE LÄN</t>
        </is>
      </c>
      <c r="G55" t="inlineStr">
        <is>
          <t>SIMRISHAMN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45336</v>
      </c>
      <c r="E56" s="1" t="n">
        <v>46265</v>
      </c>
      <c r="F56" t="inlineStr">
        <is>
          <t>SKÅNE LÄN</t>
        </is>
      </c>
      <c r="G56" t="inlineStr">
        <is>
          <t>SIMRISHAMN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46265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46265</v>
      </c>
      <c r="F58" t="inlineStr">
        <is>
          <t>SKÅNE LÄN</t>
        </is>
      </c>
      <c r="G58" t="inlineStr">
        <is>
          <t>SIMRISHAMN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45348</v>
      </c>
      <c r="E59" s="1" t="n">
        <v>46265</v>
      </c>
      <c r="F59" t="inlineStr">
        <is>
          <t>SKÅNE LÄN</t>
        </is>
      </c>
      <c r="G59" t="inlineStr">
        <is>
          <t>SIMRISHAMN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46265</v>
      </c>
      <c r="F60" t="inlineStr">
        <is>
          <t>SKÅNE LÄN</t>
        </is>
      </c>
      <c r="G60" t="inlineStr">
        <is>
          <t>SIMRISHAMN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46265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45162</v>
      </c>
      <c r="E62" s="1" t="n">
        <v>46265</v>
      </c>
      <c r="F62" t="inlineStr">
        <is>
          <t>SKÅNE LÄN</t>
        </is>
      </c>
      <c r="G62" t="inlineStr">
        <is>
          <t>SIMRISHAMN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45180</v>
      </c>
      <c r="E63" s="1" t="n">
        <v>46265</v>
      </c>
      <c r="F63" t="inlineStr">
        <is>
          <t>SKÅNE LÄN</t>
        </is>
      </c>
      <c r="G63" t="inlineStr">
        <is>
          <t>SIMRISHAMN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20950-2023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46265</v>
      </c>
      <c r="F64" t="inlineStr">
        <is>
          <t>SKÅNE LÄN</t>
        </is>
      </c>
      <c r="G64" t="inlineStr">
        <is>
          <t>SIMRISHAMN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45569</v>
      </c>
      <c r="E65" s="1" t="n">
        <v>46265</v>
      </c>
      <c r="F65" t="inlineStr">
        <is>
          <t>SKÅNE LÄN</t>
        </is>
      </c>
      <c r="G65" t="inlineStr">
        <is>
          <t>SIMRISHAMN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45334</v>
      </c>
      <c r="E66" s="1" t="n">
        <v>46265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45162</v>
      </c>
      <c r="E67" s="1" t="n">
        <v>46265</v>
      </c>
      <c r="F67" t="inlineStr">
        <is>
          <t>SKÅNE LÄN</t>
        </is>
      </c>
      <c r="G67" t="inlineStr">
        <is>
          <t>SIMRISHAMN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46265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45628</v>
      </c>
      <c r="E69" s="1" t="n">
        <v>46265</v>
      </c>
      <c r="F69" t="inlineStr">
        <is>
          <t>SKÅNE LÄN</t>
        </is>
      </c>
      <c r="G69" t="inlineStr">
        <is>
          <t>SIMRISHAMN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45755</v>
      </c>
      <c r="E70" s="1" t="n">
        <v>46265</v>
      </c>
      <c r="F70" t="inlineStr">
        <is>
          <t>SKÅNE LÄN</t>
        </is>
      </c>
      <c r="G70" t="inlineStr">
        <is>
          <t>SIMRISHAMN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23287-2022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44720</v>
      </c>
      <c r="E71" s="1" t="n">
        <v>46265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30667-2023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45112</v>
      </c>
      <c r="E72" s="1" t="n">
        <v>46265</v>
      </c>
      <c r="F72" t="inlineStr">
        <is>
          <t>SKÅNE LÄN</t>
        </is>
      </c>
      <c r="G72" t="inlineStr">
        <is>
          <t>SIMRISHAMN</t>
        </is>
      </c>
      <c r="H72" t="inlineStr">
        <is>
          <t>Övriga Aktiebolag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32488-2025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46265</v>
      </c>
      <c r="F73" t="inlineStr">
        <is>
          <t>SKÅNE LÄN</t>
        </is>
      </c>
      <c r="G73" t="inlineStr">
        <is>
          <t>SIMRISHAMN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46265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46265</v>
      </c>
      <c r="F75" t="inlineStr">
        <is>
          <t>SKÅNE LÄN</t>
        </is>
      </c>
      <c r="G75" t="inlineStr">
        <is>
          <t>SIMRISHAMN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46265</v>
      </c>
      <c r="F76" t="inlineStr">
        <is>
          <t>SKÅNE LÄN</t>
        </is>
      </c>
      <c r="G76" t="inlineStr">
        <is>
          <t>SIMRISHAMN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46265</v>
      </c>
      <c r="F77" t="inlineStr">
        <is>
          <t>SKÅNE LÄN</t>
        </is>
      </c>
      <c r="G77" t="inlineStr">
        <is>
          <t>SIMRISHAMN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45343</v>
      </c>
      <c r="E78" s="1" t="n">
        <v>46265</v>
      </c>
      <c r="F78" t="inlineStr">
        <is>
          <t>SKÅNE LÄN</t>
        </is>
      </c>
      <c r="G78" t="inlineStr">
        <is>
          <t>SIMRISHAMN</t>
        </is>
      </c>
      <c r="H78" t="inlineStr">
        <is>
          <t>Övriga Aktiebolag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46265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45652</v>
      </c>
      <c r="E80" s="1" t="n">
        <v>46265</v>
      </c>
      <c r="F80" t="inlineStr">
        <is>
          <t>SKÅNE LÄN</t>
        </is>
      </c>
      <c r="G80" t="inlineStr">
        <is>
          <t>SIMRISHAMN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45318</v>
      </c>
      <c r="E81" s="1" t="n">
        <v>46265</v>
      </c>
      <c r="F81" t="inlineStr">
        <is>
          <t>SKÅNE LÄN</t>
        </is>
      </c>
      <c r="G81" t="inlineStr">
        <is>
          <t>SIMRISHAMN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56820-2024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45628</v>
      </c>
      <c r="E82" s="1" t="n">
        <v>46265</v>
      </c>
      <c r="F82" t="inlineStr">
        <is>
          <t>SKÅNE LÄN</t>
        </is>
      </c>
      <c r="G82" t="inlineStr">
        <is>
          <t>SIMRISHAMN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58985-2022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46265</v>
      </c>
      <c r="F83" t="inlineStr">
        <is>
          <t>SKÅNE LÄN</t>
        </is>
      </c>
      <c r="G83" t="inlineStr">
        <is>
          <t>SIMRISHAMN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46265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44876</v>
      </c>
      <c r="E85" s="1" t="n">
        <v>46265</v>
      </c>
      <c r="F85" t="inlineStr">
        <is>
          <t>SKÅNE LÄN</t>
        </is>
      </c>
      <c r="G85" t="inlineStr">
        <is>
          <t>SIMRISHAMN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46265</v>
      </c>
      <c r="F86" t="inlineStr">
        <is>
          <t>SKÅNE LÄN</t>
        </is>
      </c>
      <c r="G86" t="inlineStr">
        <is>
          <t>SIMRISHAMN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46265</v>
      </c>
      <c r="F87" t="inlineStr">
        <is>
          <t>SKÅNE LÄN</t>
        </is>
      </c>
      <c r="G87" t="inlineStr">
        <is>
          <t>SIMRISHAMN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44943</v>
      </c>
      <c r="E88" s="1" t="n">
        <v>46265</v>
      </c>
      <c r="F88" t="inlineStr">
        <is>
          <t>SKÅNE LÄN</t>
        </is>
      </c>
      <c r="G88" t="inlineStr">
        <is>
          <t>SIMRISHAMN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46265</v>
      </c>
      <c r="F89" t="inlineStr">
        <is>
          <t>SKÅNE LÄN</t>
        </is>
      </c>
      <c r="G89" t="inlineStr">
        <is>
          <t>SIMRISHAMN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44827</v>
      </c>
      <c r="E90" s="1" t="n">
        <v>46265</v>
      </c>
      <c r="F90" t="inlineStr">
        <is>
          <t>SKÅNE LÄN</t>
        </is>
      </c>
      <c r="G90" t="inlineStr">
        <is>
          <t>SIMRISHAMN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46265</v>
      </c>
      <c r="F91" t="inlineStr">
        <is>
          <t>SKÅNE LÄN</t>
        </is>
      </c>
      <c r="G91" t="inlineStr">
        <is>
          <t>SIMRISHAMN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46265</v>
      </c>
      <c r="F92" t="inlineStr">
        <is>
          <t>SKÅNE LÄN</t>
        </is>
      </c>
      <c r="G92" t="inlineStr">
        <is>
          <t>SIMRISHAMN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46265</v>
      </c>
      <c r="F93" t="inlineStr">
        <is>
          <t>SKÅNE LÄN</t>
        </is>
      </c>
      <c r="G93" t="inlineStr">
        <is>
          <t>SIMRISHAMN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46265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46265</v>
      </c>
      <c r="F95" t="inlineStr">
        <is>
          <t>SKÅNE LÄN</t>
        </is>
      </c>
      <c r="G95" t="inlineStr">
        <is>
          <t>SIMRISHAMN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46265</v>
      </c>
      <c r="F96" t="inlineStr">
        <is>
          <t>SKÅNE LÄN</t>
        </is>
      </c>
      <c r="G96" t="inlineStr">
        <is>
          <t>SIMRISHAMN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46265</v>
      </c>
      <c r="F97" t="inlineStr">
        <is>
          <t>SKÅNE LÄN</t>
        </is>
      </c>
      <c r="G97" t="inlineStr">
        <is>
          <t>SIMRISHAMN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46125</v>
      </c>
      <c r="E98" s="1" t="n">
        <v>46265</v>
      </c>
      <c r="F98" t="inlineStr">
        <is>
          <t>SKÅNE LÄN</t>
        </is>
      </c>
      <c r="G98" t="inlineStr">
        <is>
          <t>SIMRISHAMN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2097-2025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45842</v>
      </c>
      <c r="E99" s="1" t="n">
        <v>46265</v>
      </c>
      <c r="F99" t="inlineStr">
        <is>
          <t>SKÅNE LÄN</t>
        </is>
      </c>
      <c r="G99" t="inlineStr">
        <is>
          <t>SIMRISHAMN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>
      <c r="A100" t="inlineStr">
        <is>
          <t>S 458-2026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46073</v>
      </c>
      <c r="E100" s="1" t="n">
        <v>46265</v>
      </c>
      <c r="F100" t="inlineStr">
        <is>
          <t>SKÅNE LÄN</t>
        </is>
      </c>
      <c r="G100" t="inlineStr">
        <is>
          <t>SIMRISHAMN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2026-08-31T10:01:56Z</dcterms:created>
  <dcterms:modified xmlns:dcterms="http://purl.org/dc/terms/" xmlns:xsi="http://www.w3.org/2001/XMLSchema-instance" xsi:type="dcterms:W3CDTF">2026-08-31T10:01:56Z</dcterms:modified>
</cp:coreProperties>
</file>