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46186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46186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46186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46186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7716-2024</t>
        </is>
      </c>
      <c r="B11" s="1" t="n">
        <v>45349</v>
      </c>
      <c r="C11" s="1" t="n">
        <v>46186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HYPERLINK("https://klasma.github.io/Logging_1291/artfynd/A 7716-2024 artfynd.xlsx", "A 7716-2024")</f>
        <v/>
      </c>
      <c r="T11">
        <f>HYPERLINK("https://klasma.github.io/Logging_1291/kartor/A 7716-2024 karta.png", "A 7716-2024")</f>
        <v/>
      </c>
      <c r="V11">
        <f>HYPERLINK("https://klasma.github.io/Logging_1291/klagomål/A 7716-2024 FSC-klagomål.docx", "A 7716-2024")</f>
        <v/>
      </c>
      <c r="W11">
        <f>HYPERLINK("https://klasma.github.io/Logging_1291/klagomålsmail/A 7716-2024 FSC-klagomål mail.docx", "A 7716-2024")</f>
        <v/>
      </c>
      <c r="X11">
        <f>HYPERLINK("https://klasma.github.io/Logging_1291/tillsyn/A 7716-2024 tillsynsbegäran.docx", "A 7716-2024")</f>
        <v/>
      </c>
      <c r="Y11">
        <f>HYPERLINK("https://klasma.github.io/Logging_1291/tillsynsmail/A 7716-2024 tillsynsbegäran mail.docx", "A 7716-2024")</f>
        <v/>
      </c>
      <c r="Z11">
        <f>HYPERLINK("https://klasma.github.io/Logging_1291/fåglar/A 7716-2024 prioriterade fågelarter.docx", "A 7716-2024")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46186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46186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46186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43851-2024</t>
        </is>
      </c>
      <c r="B16" s="1" t="n">
        <v>45572.35173611111</v>
      </c>
      <c r="C16" s="1" t="n">
        <v>46186</v>
      </c>
      <c r="D16" t="inlineStr">
        <is>
          <t>SKÅNE LÄN</t>
        </is>
      </c>
      <c r="E16" t="inlineStr">
        <is>
          <t>SIMRISHAMN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46186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42016-2022</t>
        </is>
      </c>
      <c r="B18" s="1" t="n">
        <v>44827</v>
      </c>
      <c r="C18" s="1" t="n">
        <v>46186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46186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46186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50134-2024</t>
        </is>
      </c>
      <c r="B21" s="1" t="n">
        <v>45600.44069444444</v>
      </c>
      <c r="C21" s="1" t="n">
        <v>46186</v>
      </c>
      <c r="D21" t="inlineStr">
        <is>
          <t>SKÅNE LÄN</t>
        </is>
      </c>
      <c r="E21" t="inlineStr">
        <is>
          <t>SIMRISHAMN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28269-2025</t>
        </is>
      </c>
      <c r="B22" s="1" t="n">
        <v>45818</v>
      </c>
      <c r="C22" s="1" t="n">
        <v>46186</v>
      </c>
      <c r="D22" t="inlineStr">
        <is>
          <t>SKÅNE LÄN</t>
        </is>
      </c>
      <c r="E22" t="inlineStr">
        <is>
          <t>SIMRISHAMN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46186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46186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46186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46186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46186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46186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46186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55504-2025</t>
        </is>
      </c>
      <c r="B30" s="1" t="n">
        <v>45971.59123842593</v>
      </c>
      <c r="C30" s="1" t="n">
        <v>46186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46186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46186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60059-2025</t>
        </is>
      </c>
      <c r="B33" s="1" t="n">
        <v>45993.65428240741</v>
      </c>
      <c r="C33" s="1" t="n">
        <v>46186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62316-2025</t>
        </is>
      </c>
      <c r="B34" s="1" t="n">
        <v>46006.69094907407</v>
      </c>
      <c r="C34" s="1" t="n">
        <v>46186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14702-2024</t>
        </is>
      </c>
      <c r="B35" s="1" t="n">
        <v>45397.50576388889</v>
      </c>
      <c r="C35" s="1" t="n">
        <v>46186</v>
      </c>
      <c r="D35" t="inlineStr">
        <is>
          <t>SKÅNE LÄN</t>
        </is>
      </c>
      <c r="E35" t="inlineStr">
        <is>
          <t>SIMRISHAMN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19439-2024</t>
        </is>
      </c>
      <c r="B36" s="1" t="n">
        <v>45429</v>
      </c>
      <c r="C36" s="1" t="n">
        <v>46186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16258-2024</t>
        </is>
      </c>
      <c r="B37" s="1" t="n">
        <v>45407</v>
      </c>
      <c r="C37" s="1" t="n">
        <v>46186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50138-2024</t>
        </is>
      </c>
      <c r="B38" s="1" t="n">
        <v>45600.44368055555</v>
      </c>
      <c r="C38" s="1" t="n">
        <v>46186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46186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46186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19141-2025</t>
        </is>
      </c>
      <c r="B41" s="1" t="n">
        <v>45769</v>
      </c>
      <c r="C41" s="1" t="n">
        <v>46186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1910-2026</t>
        </is>
      </c>
      <c r="B42" s="1" t="n">
        <v>46035</v>
      </c>
      <c r="C42" s="1" t="n">
        <v>46186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7072-2024</t>
        </is>
      </c>
      <c r="B43" s="1" t="n">
        <v>45343</v>
      </c>
      <c r="C43" s="1" t="n">
        <v>46186</v>
      </c>
      <c r="D43" t="inlineStr">
        <is>
          <t>SKÅNE LÄN</t>
        </is>
      </c>
      <c r="E43" t="inlineStr">
        <is>
          <t>SIMRISHAMN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30775-2025</t>
        </is>
      </c>
      <c r="B44" s="1" t="n">
        <v>45831.6150462963</v>
      </c>
      <c r="C44" s="1" t="n">
        <v>46186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2554-2023</t>
        </is>
      </c>
      <c r="B45" s="1" t="n">
        <v>44943.67172453704</v>
      </c>
      <c r="C45" s="1" t="n">
        <v>46186</v>
      </c>
      <c r="D45" t="inlineStr">
        <is>
          <t>SKÅNE LÄN</t>
        </is>
      </c>
      <c r="E45" t="inlineStr">
        <is>
          <t>SIMRISHAMN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42231-2023</t>
        </is>
      </c>
      <c r="B46" s="1" t="n">
        <v>45180.31387731482</v>
      </c>
      <c r="C46" s="1" t="n">
        <v>46186</v>
      </c>
      <c r="D46" t="inlineStr">
        <is>
          <t>SKÅNE LÄN</t>
        </is>
      </c>
      <c r="E46" t="inlineStr">
        <is>
          <t>SIMRISHAMN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7083-2024</t>
        </is>
      </c>
      <c r="B47" s="1" t="n">
        <v>45343</v>
      </c>
      <c r="C47" s="1" t="n">
        <v>46186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27426-2024</t>
        </is>
      </c>
      <c r="B48" s="1" t="n">
        <v>45474.39143518519</v>
      </c>
      <c r="C48" s="1" t="n">
        <v>46186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3602-2024</t>
        </is>
      </c>
      <c r="B49" s="1" t="n">
        <v>45320</v>
      </c>
      <c r="C49" s="1" t="n">
        <v>46186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46186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6830-2025</t>
        </is>
      </c>
      <c r="B51" s="1" t="n">
        <v>45700</v>
      </c>
      <c r="C51" s="1" t="n">
        <v>46186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3367-2024</t>
        </is>
      </c>
      <c r="B52" s="1" t="n">
        <v>45317</v>
      </c>
      <c r="C52" s="1" t="n">
        <v>46186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17038-2026</t>
        </is>
      </c>
      <c r="B53" s="1" t="n">
        <v>46114.47072916666</v>
      </c>
      <c r="C53" s="1" t="n">
        <v>46186</v>
      </c>
      <c r="D53" t="inlineStr">
        <is>
          <t>SKÅNE LÄN</t>
        </is>
      </c>
      <c r="E53" t="inlineStr">
        <is>
          <t>SIMRISHAMN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17022-2026</t>
        </is>
      </c>
      <c r="B54" s="1" t="n">
        <v>46114.45508101852</v>
      </c>
      <c r="C54" s="1" t="n">
        <v>46186</v>
      </c>
      <c r="D54" t="inlineStr">
        <is>
          <t>SKÅNE LÄN</t>
        </is>
      </c>
      <c r="E54" t="inlineStr">
        <is>
          <t>SIMRISHAMN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14104-2024</t>
        </is>
      </c>
      <c r="B55" s="1" t="n">
        <v>45392.61707175926</v>
      </c>
      <c r="C55" s="1" t="n">
        <v>46186</v>
      </c>
      <c r="D55" t="inlineStr">
        <is>
          <t>SKÅNE LÄN</t>
        </is>
      </c>
      <c r="E55" t="inlineStr">
        <is>
          <t>SIMRISHAMN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14106-2024</t>
        </is>
      </c>
      <c r="B56" s="1" t="n">
        <v>45392</v>
      </c>
      <c r="C56" s="1" t="n">
        <v>46186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37189-2025</t>
        </is>
      </c>
      <c r="B57" s="1" t="n">
        <v>45875</v>
      </c>
      <c r="C57" s="1" t="n">
        <v>46186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37052-2025</t>
        </is>
      </c>
      <c r="B58" s="1" t="n">
        <v>45875</v>
      </c>
      <c r="C58" s="1" t="n">
        <v>46186</v>
      </c>
      <c r="D58" t="inlineStr">
        <is>
          <t>SKÅNE LÄN</t>
        </is>
      </c>
      <c r="E58" t="inlineStr">
        <is>
          <t>SIMRISHAMN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18002-2026</t>
        </is>
      </c>
      <c r="B59" s="1" t="n">
        <v>46125.28149305555</v>
      </c>
      <c r="C59" s="1" t="n">
        <v>46186</v>
      </c>
      <c r="D59" t="inlineStr">
        <is>
          <t>SKÅNE LÄN</t>
        </is>
      </c>
      <c r="E59" t="inlineStr">
        <is>
          <t>SIMRISHAMN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3393-2024</t>
        </is>
      </c>
      <c r="B60" s="1" t="n">
        <v>45318</v>
      </c>
      <c r="C60" s="1" t="n">
        <v>46186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3395-2024</t>
        </is>
      </c>
      <c r="B61" s="1" t="n">
        <v>45318</v>
      </c>
      <c r="C61" s="1" t="n">
        <v>46186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46186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53978-2022</t>
        </is>
      </c>
      <c r="B63" s="1" t="n">
        <v>44876</v>
      </c>
      <c r="C63" s="1" t="n">
        <v>46186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40584-2024</t>
        </is>
      </c>
      <c r="B64" s="1" t="n">
        <v>45555.74299768519</v>
      </c>
      <c r="C64" s="1" t="n">
        <v>46186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19435-2024</t>
        </is>
      </c>
      <c r="B65" s="1" t="n">
        <v>45429</v>
      </c>
      <c r="C65" s="1" t="n">
        <v>46186</v>
      </c>
      <c r="D65" t="inlineStr">
        <is>
          <t>SKÅNE LÄN</t>
        </is>
      </c>
      <c r="E65" t="inlineStr">
        <is>
          <t>SIMRISHAMN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63464-2023</t>
        </is>
      </c>
      <c r="B66" s="1" t="n">
        <v>45273</v>
      </c>
      <c r="C66" s="1" t="n">
        <v>46186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30911-2024</t>
        </is>
      </c>
      <c r="B67" s="1" t="n">
        <v>45498.5925</v>
      </c>
      <c r="C67" s="1" t="n">
        <v>46186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46186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43724-2024</t>
        </is>
      </c>
      <c r="B69" s="1" t="n">
        <v>45569.63178240741</v>
      </c>
      <c r="C69" s="1" t="n">
        <v>46186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14103-2024</t>
        </is>
      </c>
      <c r="B70" s="1" t="n">
        <v>45392</v>
      </c>
      <c r="C70" s="1" t="n">
        <v>46186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14994-2022</t>
        </is>
      </c>
      <c r="B71" s="1" t="n">
        <v>44657.53449074074</v>
      </c>
      <c r="C71" s="1" t="n">
        <v>46186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7584-2024</t>
        </is>
      </c>
      <c r="B72" s="1" t="n">
        <v>45348</v>
      </c>
      <c r="C72" s="1" t="n">
        <v>46186</v>
      </c>
      <c r="D72" t="inlineStr">
        <is>
          <t>SKÅNE LÄN</t>
        </is>
      </c>
      <c r="E72" t="inlineStr">
        <is>
          <t>SIMRISHAMN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18682-2023</t>
        </is>
      </c>
      <c r="B73" s="1" t="n">
        <v>45043.60021990741</v>
      </c>
      <c r="C73" s="1" t="n">
        <v>46186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30667-2023</t>
        </is>
      </c>
      <c r="B74" s="1" t="n">
        <v>45112</v>
      </c>
      <c r="C74" s="1" t="n">
        <v>46186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32488-2025</t>
        </is>
      </c>
      <c r="B75" s="1" t="n">
        <v>45838</v>
      </c>
      <c r="C75" s="1" t="n">
        <v>46186</v>
      </c>
      <c r="D75" t="inlineStr">
        <is>
          <t>SKÅNE LÄN</t>
        </is>
      </c>
      <c r="E75" t="inlineStr">
        <is>
          <t>SIMRISHAMN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20669-2026</t>
        </is>
      </c>
      <c r="B76" s="1" t="n">
        <v>46141</v>
      </c>
      <c r="C76" s="1" t="n">
        <v>46186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22194-2023</t>
        </is>
      </c>
      <c r="B77" s="1" t="n">
        <v>45069</v>
      </c>
      <c r="C77" s="1" t="n">
        <v>46186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46186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26510-2026</t>
        </is>
      </c>
      <c r="B79" s="1" t="n">
        <v>46183</v>
      </c>
      <c r="C79" s="1" t="n">
        <v>46186</v>
      </c>
      <c r="D79" t="inlineStr">
        <is>
          <t>SKÅNE LÄN</t>
        </is>
      </c>
      <c r="E79" t="inlineStr">
        <is>
          <t>SIMRISHAMN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39238-2023</t>
        </is>
      </c>
      <c r="B80" s="1" t="n">
        <v>45162</v>
      </c>
      <c r="C80" s="1" t="n">
        <v>46186</v>
      </c>
      <c r="D80" t="inlineStr">
        <is>
          <t>SKÅNE LÄN</t>
        </is>
      </c>
      <c r="E80" t="inlineStr">
        <is>
          <t>SIMRISHAMN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18005-2026</t>
        </is>
      </c>
      <c r="B81" s="1" t="n">
        <v>46125</v>
      </c>
      <c r="C81" s="1" t="n">
        <v>46186</v>
      </c>
      <c r="D81" t="inlineStr">
        <is>
          <t>SKÅNE LÄN</t>
        </is>
      </c>
      <c r="E81" t="inlineStr">
        <is>
          <t>SIMRISHAMN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23287-2022</t>
        </is>
      </c>
      <c r="B82" s="1" t="n">
        <v>44720</v>
      </c>
      <c r="C82" s="1" t="n">
        <v>46186</v>
      </c>
      <c r="D82" t="inlineStr">
        <is>
          <t>SKÅNE LÄN</t>
        </is>
      </c>
      <c r="E82" t="inlineStr">
        <is>
          <t>SIMRISHAMN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17102-2025</t>
        </is>
      </c>
      <c r="B83" s="1" t="n">
        <v>45755</v>
      </c>
      <c r="C83" s="1" t="n">
        <v>46186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46186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46186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62413-2022</t>
        </is>
      </c>
      <c r="B86" s="1" t="n">
        <v>44923</v>
      </c>
      <c r="C86" s="1" t="n">
        <v>46186</v>
      </c>
      <c r="D86" t="inlineStr">
        <is>
          <t>SKÅNE LÄN</t>
        </is>
      </c>
      <c r="E86" t="inlineStr">
        <is>
          <t>SIMRISHAMN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46186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5488-2024</t>
        </is>
      </c>
      <c r="B88" s="1" t="n">
        <v>45334</v>
      </c>
      <c r="C88" s="1" t="n">
        <v>46186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5028-2024</t>
        </is>
      </c>
      <c r="B89" s="1" t="n">
        <v>45329</v>
      </c>
      <c r="C89" s="1" t="n">
        <v>46186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39834-2021</t>
        </is>
      </c>
      <c r="B90" s="1" t="n">
        <v>44417</v>
      </c>
      <c r="C90" s="1" t="n">
        <v>46186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46186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46186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46186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46186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46186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46186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46186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46186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46186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46186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2026-06-13T09:25:34Z</dcterms:created>
  <dcterms:modified xmlns:dcterms="http://purl.org/dc/terms/" xmlns:xsi="http://www.w3.org/2001/XMLSchema-instance" xsi:type="dcterms:W3CDTF">2026-06-13T09:25:34Z</dcterms:modified>
</cp:coreProperties>
</file>