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46221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V2">
        <f>HYPERLINK("https://klasma.github.io/Logging_1291/artfynd/S 872-2025 artfynd.xlsx", "S 872-2025")</f>
        <v/>
      </c>
      <c r="W2">
        <f>HYPERLINK("https://klasma.github.io/Logging_1291/kartor/S 872-2025 karta.png", "S 872-2025")</f>
        <v/>
      </c>
      <c r="Y2">
        <f>HYPERLINK("https://klasma.github.io/Logging_1291/klagomål/S 872-2025 FSC-klagomål.docx", "S 872-2025")</f>
        <v/>
      </c>
      <c r="Z2">
        <f>HYPERLINK("https://klasma.github.io/Logging_1291/klagomålsmail/S 872-2025 FSC-klagomål mail.docx", "S 872-2025")</f>
        <v/>
      </c>
      <c r="AA2">
        <f>HYPERLINK("https://klasma.github.io/Logging_1291/tillsyn/S 872-2025 tillsynsbegäran.docx", "S 872-2025")</f>
        <v/>
      </c>
      <c r="AB2">
        <f>HYPERLINK("https://klasma.github.io/Logging_1291/tillsynsmail/S 872-2025 tillsynsbegäran mail.docx", "S 872-2025")</f>
        <v/>
      </c>
      <c r="AC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46221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s="2" t="inlineStr">
        <is>
          <t>Rosa lundlav
Bokvårtlav
Stiftklotterlav
Guldlockmossa
Lönnlav
Platt fjädermossa
Trädporella
Gröngöling</t>
        </is>
      </c>
      <c r="V3">
        <f>HYPERLINK("https://klasma.github.io/Logging_1291/artfynd/A 19439-2024 artfynd.xlsx", "A 19439-2024")</f>
        <v/>
      </c>
      <c r="W3">
        <f>HYPERLINK("https://klasma.github.io/Logging_1291/kartor/A 19439-2024 karta.png", "A 19439-2024")</f>
        <v/>
      </c>
      <c r="Y3">
        <f>HYPERLINK("https://klasma.github.io/Logging_1291/klagomål/A 19439-2024 FSC-klagomål.docx", "A 19439-2024")</f>
        <v/>
      </c>
      <c r="Z3">
        <f>HYPERLINK("https://klasma.github.io/Logging_1291/klagomålsmail/A 19439-2024 FSC-klagomål mail.docx", "A 19439-2024")</f>
        <v/>
      </c>
      <c r="AA3">
        <f>HYPERLINK("https://klasma.github.io/Logging_1291/tillsyn/A 19439-2024 tillsynsbegäran.docx", "A 19439-2024")</f>
        <v/>
      </c>
      <c r="AB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46221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s="2" t="inlineStr">
        <is>
          <t>Ask
Skogsalm
Backsippa
Sminkrot
Åkerkulla
Långbensgroda</t>
        </is>
      </c>
      <c r="V4">
        <f>HYPERLINK("https://klasma.github.io/Logging_1291/artfynd/A 18589-2022 artfynd.xlsx", "A 18589-2022")</f>
        <v/>
      </c>
      <c r="W4">
        <f>HYPERLINK("https://klasma.github.io/Logging_1291/kartor/A 18589-2022 karta.png", "A 18589-2022")</f>
        <v/>
      </c>
      <c r="Y4">
        <f>HYPERLINK("https://klasma.github.io/Logging_1291/klagomål/A 18589-2022 FSC-klagomål.docx", "A 18589-2022")</f>
        <v/>
      </c>
      <c r="Z4">
        <f>HYPERLINK("https://klasma.github.io/Logging_1291/klagomålsmail/A 18589-2022 FSC-klagomål mail.docx", "A 18589-2022")</f>
        <v/>
      </c>
      <c r="AA4">
        <f>HYPERLINK("https://klasma.github.io/Logging_1291/tillsyn/A 18589-2022 tillsynsbegäran.docx", "A 18589-2022")</f>
        <v/>
      </c>
      <c r="AB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46221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s="2" t="inlineStr">
        <is>
          <t>Bokvårtlav
Lunglav
Mjukdån
Småjungfrukam
Stor knopplav</t>
        </is>
      </c>
      <c r="V5">
        <f>HYPERLINK("https://klasma.github.io/Logging_1291/artfynd/A 45-2022 artfynd.xlsx", "A 45-2022")</f>
        <v/>
      </c>
      <c r="W5">
        <f>HYPERLINK("https://klasma.github.io/Logging_1291/kartor/A 45-2022 karta.png", "A 45-2022")</f>
        <v/>
      </c>
      <c r="Y5">
        <f>HYPERLINK("https://klasma.github.io/Logging_1291/klagomål/A 45-2022 FSC-klagomål.docx", "A 45-2022")</f>
        <v/>
      </c>
      <c r="Z5">
        <f>HYPERLINK("https://klasma.github.io/Logging_1291/klagomålsmail/A 45-2022 FSC-klagomål mail.docx", "A 45-2022")</f>
        <v/>
      </c>
      <c r="AA5">
        <f>HYPERLINK("https://klasma.github.io/Logging_1291/tillsyn/A 45-2022 tillsynsbegäran.docx", "A 45-2022")</f>
        <v/>
      </c>
      <c r="AB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46221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Talltita
Grönsiska
Kungsfågel</t>
        </is>
      </c>
      <c r="V6">
        <f>HYPERLINK("https://klasma.github.io/Logging_1291/artfynd/A 19874-2024 artfynd.xlsx", "A 19874-2024")</f>
        <v/>
      </c>
      <c r="W6">
        <f>HYPERLINK("https://klasma.github.io/Logging_1291/kartor/A 19874-2024 karta.png", "A 19874-2024")</f>
        <v/>
      </c>
      <c r="Y6">
        <f>HYPERLINK("https://klasma.github.io/Logging_1291/klagomål/A 19874-2024 FSC-klagomål.docx", "A 19874-2024")</f>
        <v/>
      </c>
      <c r="Z6">
        <f>HYPERLINK("https://klasma.github.io/Logging_1291/klagomålsmail/A 19874-2024 FSC-klagomål mail.docx", "A 19874-2024")</f>
        <v/>
      </c>
      <c r="AA6">
        <f>HYPERLINK("https://klasma.github.io/Logging_1291/tillsyn/A 19874-2024 tillsynsbegäran.docx", "A 19874-2024")</f>
        <v/>
      </c>
      <c r="AB6">
        <f>HYPERLINK("https://klasma.github.io/Logging_1291/tillsynsmail/A 19874-2024 tillsynsbegäran mail.docx", "A 19874-2024")</f>
        <v/>
      </c>
      <c r="AC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46221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Bokoxe
Rostfläck
Spillkråka</t>
        </is>
      </c>
      <c r="V7">
        <f>HYPERLINK("https://klasma.github.io/Logging_1291/artfynd/A 27430-2024 artfynd.xlsx", "A 27430-2024")</f>
        <v/>
      </c>
      <c r="W7">
        <f>HYPERLINK("https://klasma.github.io/Logging_1291/kartor/A 27430-2024 karta.png", "A 27430-2024")</f>
        <v/>
      </c>
      <c r="Y7">
        <f>HYPERLINK("https://klasma.github.io/Logging_1291/klagomål/A 27430-2024 FSC-klagomål.docx", "A 27430-2024")</f>
        <v/>
      </c>
      <c r="Z7">
        <f>HYPERLINK("https://klasma.github.io/Logging_1291/klagomålsmail/A 27430-2024 FSC-klagomål mail.docx", "A 27430-2024")</f>
        <v/>
      </c>
      <c r="AA7">
        <f>HYPERLINK("https://klasma.github.io/Logging_1291/tillsyn/A 27430-2024 tillsynsbegäran.docx", "A 27430-2024")</f>
        <v/>
      </c>
      <c r="AB7">
        <f>HYPERLINK("https://klasma.github.io/Logging_1291/tillsynsmail/A 27430-2024 tillsynsbegäran mail.docx", "A 27430-2024")</f>
        <v/>
      </c>
      <c r="AC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46221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Lövgroda
Större vattensalamander</t>
        </is>
      </c>
      <c r="V8">
        <f>HYPERLINK("https://klasma.github.io/Logging_1291/artfynd/A 39121-2021 artfynd.xlsx", "A 39121-2021")</f>
        <v/>
      </c>
      <c r="W8">
        <f>HYPERLINK("https://klasma.github.io/Logging_1291/kartor/A 39121-2021 karta.png", "A 39121-2021")</f>
        <v/>
      </c>
      <c r="Y8">
        <f>HYPERLINK("https://klasma.github.io/Logging_1291/klagomål/A 39121-2021 FSC-klagomål.docx", "A 39121-2021")</f>
        <v/>
      </c>
      <c r="Z8">
        <f>HYPERLINK("https://klasma.github.io/Logging_1291/klagomålsmail/A 39121-2021 FSC-klagomål mail.docx", "A 39121-2021")</f>
        <v/>
      </c>
      <c r="AA8">
        <f>HYPERLINK("https://klasma.github.io/Logging_1291/tillsyn/A 39121-2021 tillsynsbegäran.docx", "A 39121-2021")</f>
        <v/>
      </c>
      <c r="AB8">
        <f>HYPERLINK("https://klasma.github.io/Logging_1291/tillsynsmail/A 39121-2021 tillsynsbegäran mail.docx", "A 39121-2021")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46221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s="2" t="inlineStr">
        <is>
          <t>Talltita
Ängskovall</t>
        </is>
      </c>
      <c r="V9">
        <f>HYPERLINK("https://klasma.github.io/Logging_1291/artfynd/A 7716-2024 artfynd.xlsx", "A 7716-2024")</f>
        <v/>
      </c>
      <c r="W9">
        <f>HYPERLINK("https://klasma.github.io/Logging_1291/kartor/A 7716-2024 karta.png", "A 7716-2024")</f>
        <v/>
      </c>
      <c r="Y9">
        <f>HYPERLINK("https://klasma.github.io/Logging_1291/klagomål/A 7716-2024 FSC-klagomål.docx", "A 7716-2024")</f>
        <v/>
      </c>
      <c r="Z9">
        <f>HYPERLINK("https://klasma.github.io/Logging_1291/klagomålsmail/A 7716-2024 FSC-klagomål mail.docx", "A 7716-2024")</f>
        <v/>
      </c>
      <c r="AA9">
        <f>HYPERLINK("https://klasma.github.io/Logging_1291/tillsyn/A 7716-2024 tillsynsbegäran.docx", "A 7716-2024")</f>
        <v/>
      </c>
      <c r="AB9">
        <f>HYPERLINK("https://klasma.github.io/Logging_1291/tillsynsmail/A 7716-2024 tillsynsbegäran mail.docx", "A 7716-2024")</f>
        <v/>
      </c>
      <c r="AC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46221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s="2" t="inlineStr">
        <is>
          <t>Bredbrämad bastardsvärmare
Dvärgpipistrell</t>
        </is>
      </c>
      <c r="V10">
        <f>HYPERLINK("https://klasma.github.io/Logging_1291/artfynd/A 951-2024 artfynd.xlsx", "A 951-2024")</f>
        <v/>
      </c>
      <c r="W10">
        <f>HYPERLINK("https://klasma.github.io/Logging_1291/kartor/A 951-2024 karta.png", "A 951-2024")</f>
        <v/>
      </c>
      <c r="Y10">
        <f>HYPERLINK("https://klasma.github.io/Logging_1291/klagomål/A 951-2024 FSC-klagomål.docx", "A 951-2024")</f>
        <v/>
      </c>
      <c r="Z10">
        <f>HYPERLINK("https://klasma.github.io/Logging_1291/klagomålsmail/A 951-2024 FSC-klagomål mail.docx", "A 951-2024")</f>
        <v/>
      </c>
      <c r="AA10">
        <f>HYPERLINK("https://klasma.github.io/Logging_1291/tillsyn/A 951-2024 tillsynsbegäran.docx", "A 951-2024")</f>
        <v/>
      </c>
      <c r="AB10">
        <f>HYPERLINK("https://klasma.github.io/Logging_1291/tillsynsmail/A 951-2024 tillsynsbegäran mail.docx", "A 951-2024")</f>
        <v/>
      </c>
    </row>
    <row r="11" ht="15" customHeight="1">
      <c r="A11" t="inlineStr">
        <is>
          <t>A 31291-2026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46218</v>
      </c>
      <c r="E11" s="1" t="n">
        <v>46221</v>
      </c>
      <c r="F11" t="inlineStr">
        <is>
          <t>SKÅNE LÄN</t>
        </is>
      </c>
      <c r="G11" t="inlineStr">
        <is>
          <t>SIMRISHAMN</t>
        </is>
      </c>
      <c r="I11" t="n">
        <v>3.3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3</v>
      </c>
      <c r="U11" s="2" t="inlineStr">
        <is>
          <t>Sandödla
Hasselmus</t>
        </is>
      </c>
      <c r="V11">
        <f>HYPERLINK("https://klasma.github.io/Logging_1291/artfynd/A 31291-2026 artfynd.xlsx", "A 31291-2026")</f>
        <v/>
      </c>
      <c r="W11">
        <f>HYPERLINK("https://klasma.github.io/Logging_1291/kartor/A 31291-2026 karta.png", "A 31291-2026")</f>
        <v/>
      </c>
      <c r="Y11">
        <f>HYPERLINK("https://klasma.github.io/Logging_1291/klagomål/A 31291-2026 FSC-klagomål.docx", "A 31291-2026")</f>
        <v/>
      </c>
      <c r="Z11">
        <f>HYPERLINK("https://klasma.github.io/Logging_1291/klagomålsmail/A 31291-2026 FSC-klagomål mail.docx", "A 31291-2026")</f>
        <v/>
      </c>
      <c r="AA11">
        <f>HYPERLINK("https://klasma.github.io/Logging_1291/tillsyn/A 31291-2026 tillsynsbegäran.docx", "A 31291-2026")</f>
        <v/>
      </c>
      <c r="AB11">
        <f>HYPERLINK("https://klasma.github.io/Logging_1291/tillsynsmail/A 31291-2026 tillsynsbegäran mail.docx", "A 31291-2026")</f>
        <v/>
      </c>
    </row>
    <row r="12" ht="15" customHeight="1">
      <c r="A12" t="inlineStr">
        <is>
          <t>A 25834-2022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44733</v>
      </c>
      <c r="E12" s="1" t="n">
        <v>46221</v>
      </c>
      <c r="F12" t="inlineStr">
        <is>
          <t>SKÅNE LÄN</t>
        </is>
      </c>
      <c r="G12" t="inlineStr">
        <is>
          <t>SIMRISHAMN</t>
        </is>
      </c>
      <c r="I12" t="n">
        <v>0.6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s="2" t="inlineStr">
        <is>
          <t>Hasselmus</t>
        </is>
      </c>
      <c r="V12">
        <f>HYPERLINK("https://klasma.github.io/Logging_1291/artfynd/A 25834-2022 artfynd.xlsx", "A 25834-2022")</f>
        <v/>
      </c>
      <c r="W12">
        <f>HYPERLINK("https://klasma.github.io/Logging_1291/kartor/A 25834-2022 karta.png", "A 25834-2022")</f>
        <v/>
      </c>
      <c r="Y12">
        <f>HYPERLINK("https://klasma.github.io/Logging_1291/klagomål/A 25834-2022 FSC-klagomål.docx", "A 25834-2022")</f>
        <v/>
      </c>
      <c r="Z12">
        <f>HYPERLINK("https://klasma.github.io/Logging_1291/klagomålsmail/A 25834-2022 FSC-klagomål mail.docx", "A 25834-2022")</f>
        <v/>
      </c>
      <c r="AA12">
        <f>HYPERLINK("https://klasma.github.io/Logging_1291/tillsyn/A 25834-2022 tillsynsbegäran.docx", "A 25834-2022")</f>
        <v/>
      </c>
      <c r="AB12">
        <f>HYPERLINK("https://klasma.github.io/Logging_1291/tillsynsmail/A 25834-2022 tillsynsbegäran mail.docx", "A 25834-2022")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46221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Borsttåg</t>
        </is>
      </c>
      <c r="V13">
        <f>HYPERLINK("https://klasma.github.io/Logging_1291/artfynd/A 3401-2024 artfynd.xlsx", "A 3401-2024")</f>
        <v/>
      </c>
      <c r="W13">
        <f>HYPERLINK("https://klasma.github.io/Logging_1291/kartor/A 3401-2024 karta.png", "A 3401-2024")</f>
        <v/>
      </c>
      <c r="Y13">
        <f>HYPERLINK("https://klasma.github.io/Logging_1291/klagomål/A 3401-2024 FSC-klagomål.docx", "A 3401-2024")</f>
        <v/>
      </c>
      <c r="Z13">
        <f>HYPERLINK("https://klasma.github.io/Logging_1291/klagomålsmail/A 3401-2024 FSC-klagomål mail.docx", "A 3401-2024")</f>
        <v/>
      </c>
      <c r="AA13">
        <f>HYPERLINK("https://klasma.github.io/Logging_1291/tillsyn/A 3401-2024 tillsynsbegäran.docx", "A 3401-2024")</f>
        <v/>
      </c>
      <c r="AB13">
        <f>HYPERLINK("https://klasma.github.io/Logging_1291/tillsynsmail/A 3401-2024 tillsynsbegäran mail.docx", "A 3401-2024")</f>
        <v/>
      </c>
    </row>
    <row r="14" ht="15" customHeight="1">
      <c r="A14" t="inlineStr">
        <is>
          <t>A 7082-2024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46221</v>
      </c>
      <c r="F14" t="inlineStr">
        <is>
          <t>SKÅNE LÄN</t>
        </is>
      </c>
      <c r="G14" t="inlineStr">
        <is>
          <t>SIMRISHAMN</t>
        </is>
      </c>
      <c r="H14" t="inlineStr">
        <is>
          <t>Övriga Aktiebolag</t>
        </is>
      </c>
      <c r="I14" t="n">
        <v>22.7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Småvänderot</t>
        </is>
      </c>
      <c r="V14">
        <f>HYPERLINK("https://klasma.github.io/Logging_1291/artfynd/A 7082-2024 artfynd.xlsx", "A 7082-2024")</f>
        <v/>
      </c>
      <c r="W14">
        <f>HYPERLINK("https://klasma.github.io/Logging_1291/kartor/A 7082-2024 karta.png", "A 7082-2024")</f>
        <v/>
      </c>
      <c r="Y14">
        <f>HYPERLINK("https://klasma.github.io/Logging_1291/klagomål/A 7082-2024 FSC-klagomål.docx", "A 7082-2024")</f>
        <v/>
      </c>
      <c r="Z14">
        <f>HYPERLINK("https://klasma.github.io/Logging_1291/klagomålsmail/A 7082-2024 FSC-klagomål mail.docx", "A 7082-2024")</f>
        <v/>
      </c>
      <c r="AA14">
        <f>HYPERLINK("https://klasma.github.io/Logging_1291/tillsyn/A 7082-2024 tillsynsbegäran.docx", "A 7082-2024")</f>
        <v/>
      </c>
      <c r="AB14">
        <f>HYPERLINK("https://klasma.github.io/Logging_1291/tillsynsmail/A 7082-2024 tillsynsbegäran mail.docx", "A 7082-2024")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46221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Hasselmus</t>
        </is>
      </c>
      <c r="V15">
        <f>HYPERLINK("https://klasma.github.io/Logging_1291/artfynd/A 17038-2026 artfynd.xlsx", "A 17038-2026")</f>
        <v/>
      </c>
      <c r="W15">
        <f>HYPERLINK("https://klasma.github.io/Logging_1291/kartor/A 17038-2026 karta.png", "A 17038-2026")</f>
        <v/>
      </c>
      <c r="Y15">
        <f>HYPERLINK("https://klasma.github.io/Logging_1291/klagomål/A 17038-2026 FSC-klagomål.docx", "A 17038-2026")</f>
        <v/>
      </c>
      <c r="Z15">
        <f>HYPERLINK("https://klasma.github.io/Logging_1291/klagomålsmail/A 17038-2026 FSC-klagomål mail.docx", "A 17038-2026")</f>
        <v/>
      </c>
      <c r="AA15">
        <f>HYPERLINK("https://klasma.github.io/Logging_1291/tillsyn/A 17038-2026 tillsynsbegäran.docx", "A 17038-2026")</f>
        <v/>
      </c>
      <c r="AB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46221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s="2" t="inlineStr">
        <is>
          <t>Hasselmus</t>
        </is>
      </c>
      <c r="V16">
        <f>HYPERLINK("https://klasma.github.io/Logging_1291/artfynd/A 17022-2026 artfynd.xlsx", "A 17022-2026")</f>
        <v/>
      </c>
      <c r="W16">
        <f>HYPERLINK("https://klasma.github.io/Logging_1291/kartor/A 17022-2026 karta.png", "A 17022-2026")</f>
        <v/>
      </c>
      <c r="Y16">
        <f>HYPERLINK("https://klasma.github.io/Logging_1291/klagomål/A 17022-2026 FSC-klagomål.docx", "A 17022-2026")</f>
        <v/>
      </c>
      <c r="Z16">
        <f>HYPERLINK("https://klasma.github.io/Logging_1291/klagomålsmail/A 17022-2026 FSC-klagomål mail.docx", "A 17022-2026")</f>
        <v/>
      </c>
      <c r="AA16">
        <f>HYPERLINK("https://klasma.github.io/Logging_1291/tillsyn/A 17022-2026 tillsynsbegäran.docx", "A 17022-2026")</f>
        <v/>
      </c>
      <c r="AB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46221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Hasselmus</t>
        </is>
      </c>
      <c r="V17">
        <f>HYPERLINK("https://klasma.github.io/Logging_1291/artfynd/A 18002-2026 artfynd.xlsx", "A 18002-2026")</f>
        <v/>
      </c>
      <c r="W17">
        <f>HYPERLINK("https://klasma.github.io/Logging_1291/kartor/A 18002-2026 karta.png", "A 18002-2026")</f>
        <v/>
      </c>
      <c r="Y17">
        <f>HYPERLINK("https://klasma.github.io/Logging_1291/klagomål/A 18002-2026 FSC-klagomål.docx", "A 18002-2026")</f>
        <v/>
      </c>
      <c r="Z17">
        <f>HYPERLINK("https://klasma.github.io/Logging_1291/klagomålsmail/A 18002-2026 FSC-klagomål mail.docx", "A 18002-2026")</f>
        <v/>
      </c>
      <c r="AA17">
        <f>HYPERLINK("https://klasma.github.io/Logging_1291/tillsyn/A 18002-2026 tillsynsbegäran.docx", "A 18002-2026")</f>
        <v/>
      </c>
      <c r="AB17">
        <f>HYPERLINK("https://klasma.github.io/Logging_1291/tillsynsmail/A 18002-2026 tillsynsbegäran mail.docx", "A 18002-2026")</f>
        <v/>
      </c>
    </row>
    <row r="18" ht="15" customHeight="1">
      <c r="A18" t="inlineStr">
        <is>
          <t>A 20090-2024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46221</v>
      </c>
      <c r="F18" t="inlineStr">
        <is>
          <t>SKÅNE LÄN</t>
        </is>
      </c>
      <c r="G18" t="inlineStr">
        <is>
          <t>SIMRISHAMN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Hasselmus</t>
        </is>
      </c>
      <c r="V18">
        <f>HYPERLINK("https://klasma.github.io/Logging_1291/artfynd/A 20090-2024 artfynd.xlsx", "A 20090-2024")</f>
        <v/>
      </c>
      <c r="W18">
        <f>HYPERLINK("https://klasma.github.io/Logging_1291/kartor/A 20090-2024 karta.png", "A 20090-2024")</f>
        <v/>
      </c>
      <c r="Y18">
        <f>HYPERLINK("https://klasma.github.io/Logging_1291/klagomål/A 20090-2024 FSC-klagomål.docx", "A 20090-2024")</f>
        <v/>
      </c>
      <c r="Z18">
        <f>HYPERLINK("https://klasma.github.io/Logging_1291/klagomålsmail/A 20090-2024 FSC-klagomål mail.docx", "A 20090-2024")</f>
        <v/>
      </c>
      <c r="AA18">
        <f>HYPERLINK("https://klasma.github.io/Logging_1291/tillsyn/A 20090-2024 tillsynsbegäran.docx", "A 20090-2024")</f>
        <v/>
      </c>
      <c r="AB18">
        <f>HYPERLINK("https://klasma.github.io/Logging_1291/tillsynsmail/A 20090-2024 tillsynsbegäran mail.docx", "A 20090-2024")</f>
        <v/>
      </c>
    </row>
    <row r="19" ht="15" customHeight="1">
      <c r="A19" t="inlineStr">
        <is>
          <t>A 50134-2024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46221</v>
      </c>
      <c r="F19" t="inlineStr">
        <is>
          <t>SKÅNE LÄN</t>
        </is>
      </c>
      <c r="G19" t="inlineStr">
        <is>
          <t>SIMRISHAMN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Hasselmus</t>
        </is>
      </c>
      <c r="V19">
        <f>HYPERLINK("https://klasma.github.io/Logging_1291/artfynd/A 50134-2024 artfynd.xlsx", "A 50134-2024")</f>
        <v/>
      </c>
      <c r="W19">
        <f>HYPERLINK("https://klasma.github.io/Logging_1291/kartor/A 50134-2024 karta.png", "A 50134-2024")</f>
        <v/>
      </c>
      <c r="Y19">
        <f>HYPERLINK("https://klasma.github.io/Logging_1291/klagomål/A 50134-2024 FSC-klagomål.docx", "A 50134-2024")</f>
        <v/>
      </c>
      <c r="Z19">
        <f>HYPERLINK("https://klasma.github.io/Logging_1291/klagomålsmail/A 50134-2024 FSC-klagomål mail.docx", "A 50134-2024")</f>
        <v/>
      </c>
      <c r="AA19">
        <f>HYPERLINK("https://klasma.github.io/Logging_1291/tillsyn/A 50134-2024 tillsynsbegäran.docx", "A 50134-2024")</f>
        <v/>
      </c>
      <c r="AB19">
        <f>HYPERLINK("https://klasma.github.io/Logging_1291/tillsynsmail/A 50134-2024 tillsynsbegäran mail.docx", "A 50134-2024")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46221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Igelkott</t>
        </is>
      </c>
      <c r="V20">
        <f>HYPERLINK("https://klasma.github.io/Logging_1291/artfynd/A 26510-2026 artfynd.xlsx", "A 26510-2026")</f>
        <v/>
      </c>
      <c r="W20">
        <f>HYPERLINK("https://klasma.github.io/Logging_1291/kartor/A 26510-2026 karta.png", "A 26510-2026")</f>
        <v/>
      </c>
      <c r="Y20">
        <f>HYPERLINK("https://klasma.github.io/Logging_1291/klagomål/A 26510-2026 FSC-klagomål.docx", "A 26510-2026")</f>
        <v/>
      </c>
      <c r="Z20">
        <f>HYPERLINK("https://klasma.github.io/Logging_1291/klagomålsmail/A 26510-2026 FSC-klagomål mail.docx", "A 26510-2026")</f>
        <v/>
      </c>
      <c r="AA20">
        <f>HYPERLINK("https://klasma.github.io/Logging_1291/tillsyn/A 26510-2026 tillsynsbegäran.docx", "A 26510-2026")</f>
        <v/>
      </c>
      <c r="AB20">
        <f>HYPERLINK("https://klasma.github.io/Logging_1291/tillsynsmail/A 26510-2026 tillsynsbegäran mail.docx", "A 26510-2026")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46221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Hartsticka</t>
        </is>
      </c>
      <c r="V21">
        <f>HYPERLINK("https://klasma.github.io/Logging_1291/artfynd/A 45802-2022 artfynd.xlsx", "A 45802-2022")</f>
        <v/>
      </c>
      <c r="W21">
        <f>HYPERLINK("https://klasma.github.io/Logging_1291/kartor/A 45802-2022 karta.png", "A 45802-2022")</f>
        <v/>
      </c>
      <c r="Y21">
        <f>HYPERLINK("https://klasma.github.io/Logging_1291/klagomål/A 45802-2022 FSC-klagomål.docx", "A 45802-2022")</f>
        <v/>
      </c>
      <c r="Z21">
        <f>HYPERLINK("https://klasma.github.io/Logging_1291/klagomålsmail/A 45802-2022 FSC-klagomål mail.docx", "A 45802-2022")</f>
        <v/>
      </c>
      <c r="AA21">
        <f>HYPERLINK("https://klasma.github.io/Logging_1291/tillsyn/A 45802-2022 tillsynsbegäran.docx", "A 45802-2022")</f>
        <v/>
      </c>
      <c r="AB21">
        <f>HYPERLINK("https://klasma.github.io/Logging_1291/tillsynsmail/A 45802-2022 tillsynsbegäran mail.docx", "A 45802-2022")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46221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Sandödla</t>
        </is>
      </c>
      <c r="V22">
        <f>HYPERLINK("https://klasma.github.io/Logging_1291/artfynd/A 22194-2023 artfynd.xlsx", "A 22194-2023")</f>
        <v/>
      </c>
      <c r="W22">
        <f>HYPERLINK("https://klasma.github.io/Logging_1291/kartor/A 22194-2023 karta.png", "A 22194-2023")</f>
        <v/>
      </c>
      <c r="Y22">
        <f>HYPERLINK("https://klasma.github.io/Logging_1291/klagomål/A 22194-2023 FSC-klagomål.docx", "A 22194-2023")</f>
        <v/>
      </c>
      <c r="Z22">
        <f>HYPERLINK("https://klasma.github.io/Logging_1291/klagomålsmail/A 22194-2023 FSC-klagomål mail.docx", "A 22194-2023")</f>
        <v/>
      </c>
      <c r="AA22">
        <f>HYPERLINK("https://klasma.github.io/Logging_1291/tillsyn/A 22194-2023 tillsynsbegäran.docx", "A 22194-2023")</f>
        <v/>
      </c>
      <c r="AB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46221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HYPERLINK("https://klasma.github.io/Logging_1291/artfynd/A 16258-2024 artfynd.xlsx", "A 16258-2024")</f>
        <v/>
      </c>
      <c r="W23">
        <f>HYPERLINK("https://klasma.github.io/Logging_1291/kartor/A 16258-2024 karta.png", "A 16258-2024")</f>
        <v/>
      </c>
      <c r="Y23">
        <f>HYPERLINK("https://klasma.github.io/Logging_1291/klagomål/A 16258-2024 FSC-klagomål.docx", "A 16258-2024")</f>
        <v/>
      </c>
      <c r="Z23">
        <f>HYPERLINK("https://klasma.github.io/Logging_1291/klagomålsmail/A 16258-2024 FSC-klagomål mail.docx", "A 16258-2024")</f>
        <v/>
      </c>
      <c r="AA23">
        <f>HYPERLINK("https://klasma.github.io/Logging_1291/tillsyn/A 16258-2024 tillsynsbegäran.docx", "A 16258-2024")</f>
        <v/>
      </c>
      <c r="AB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46221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Vanlig padda</t>
        </is>
      </c>
      <c r="V24">
        <f>HYPERLINK("https://klasma.github.io/Logging_1291/artfynd/S 3372-2024 artfynd.xlsx", "S 3372-2024")</f>
        <v/>
      </c>
      <c r="W24">
        <f>HYPERLINK("https://klasma.github.io/Logging_1291/kartor/S 3372-2024 karta.png", "S 3372-2024")</f>
        <v/>
      </c>
      <c r="Y24">
        <f>HYPERLINK("https://klasma.github.io/Logging_1291/klagomål/S 3372-2024 FSC-klagomål.docx", "S 3372-2024")</f>
        <v/>
      </c>
      <c r="Z24">
        <f>HYPERLINK("https://klasma.github.io/Logging_1291/klagomålsmail/S 3372-2024 FSC-klagomål mail.docx", "S 3372-2024")</f>
        <v/>
      </c>
      <c r="AA24">
        <f>HYPERLINK("https://klasma.github.io/Logging_1291/tillsyn/S 3372-2024 tillsynsbegäran.docx", "S 3372-2024")</f>
        <v/>
      </c>
      <c r="AB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46221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Hasselmus</t>
        </is>
      </c>
      <c r="V25">
        <f>HYPERLINK("https://klasma.github.io/Logging_1291/artfynd/S 300-2023 artfynd.xlsx", "S 300-2023")</f>
        <v/>
      </c>
      <c r="W25">
        <f>HYPERLINK("https://klasma.github.io/Logging_1291/kartor/S 300-2023 karta.png", "S 300-2023")</f>
        <v/>
      </c>
      <c r="Y25">
        <f>HYPERLINK("https://klasma.github.io/Logging_1291/klagomål/S 300-2023 FSC-klagomål.docx", "S 300-2023")</f>
        <v/>
      </c>
      <c r="Z25">
        <f>HYPERLINK("https://klasma.github.io/Logging_1291/klagomålsmail/S 300-2023 FSC-klagomål mail.docx", "S 300-2023")</f>
        <v/>
      </c>
      <c r="AA25">
        <f>HYPERLINK("https://klasma.github.io/Logging_1291/tillsyn/S 300-2023 tillsynsbegäran.docx", "S 300-2023")</f>
        <v/>
      </c>
      <c r="AB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46221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46221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46221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46221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46221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40584-2024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45555</v>
      </c>
      <c r="E31" s="1" t="n">
        <v>46221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46221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46221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46221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46221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7072-2024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45343</v>
      </c>
      <c r="E36" s="1" t="n">
        <v>46221</v>
      </c>
      <c r="F36" t="inlineStr">
        <is>
          <t>SKÅNE LÄN</t>
        </is>
      </c>
      <c r="G36" t="inlineStr">
        <is>
          <t>SIMRISHAMN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14994-2022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46221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18856-2024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46221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6830-2025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45700</v>
      </c>
      <c r="E39" s="1" t="n">
        <v>46221</v>
      </c>
      <c r="F39" t="inlineStr">
        <is>
          <t>SKÅNE LÄN</t>
        </is>
      </c>
      <c r="G39" t="inlineStr">
        <is>
          <t>SIMRISHAMN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62413-2022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46221</v>
      </c>
      <c r="F40" t="inlineStr">
        <is>
          <t>SKÅNE LÄN</t>
        </is>
      </c>
      <c r="G40" t="inlineStr">
        <is>
          <t>SIMRISHAMN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46035</v>
      </c>
      <c r="E41" s="1" t="n">
        <v>46221</v>
      </c>
      <c r="F41" t="inlineStr">
        <is>
          <t>SKÅNE LÄN</t>
        </is>
      </c>
      <c r="G41" t="inlineStr">
        <is>
          <t>SIMRISHAMN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37189-2025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46221</v>
      </c>
      <c r="F42" t="inlineStr">
        <is>
          <t>SKÅNE LÄN</t>
        </is>
      </c>
      <c r="G42" t="inlineStr">
        <is>
          <t>SIMRISHAMN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63456-2023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46221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28269-2025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46221</v>
      </c>
      <c r="F44" t="inlineStr">
        <is>
          <t>SKÅNE LÄN</t>
        </is>
      </c>
      <c r="G44" t="inlineStr">
        <is>
          <t>SIMRISHAMN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55504-2025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46221</v>
      </c>
      <c r="F45" t="inlineStr">
        <is>
          <t>SKÅNE LÄN</t>
        </is>
      </c>
      <c r="G45" t="inlineStr">
        <is>
          <t>SIMRISHAMN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14000-2025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46221</v>
      </c>
      <c r="F46" t="inlineStr">
        <is>
          <t>SKÅNE LÄN</t>
        </is>
      </c>
      <c r="G46" t="inlineStr">
        <is>
          <t>SIMRISHAMN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18682-2023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46221</v>
      </c>
      <c r="F47" t="inlineStr">
        <is>
          <t>SKÅNE LÄN</t>
        </is>
      </c>
      <c r="G47" t="inlineStr">
        <is>
          <t>SIMRISHAMN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3367-2024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46221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60059-2025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46221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38846-2024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46221</v>
      </c>
      <c r="F50" t="inlineStr">
        <is>
          <t>SKÅNE LÄN</t>
        </is>
      </c>
      <c r="G50" t="inlineStr">
        <is>
          <t>SIMRISHAMN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45429</v>
      </c>
      <c r="E51" s="1" t="n">
        <v>46221</v>
      </c>
      <c r="F51" t="inlineStr">
        <is>
          <t>SKÅNE LÄN</t>
        </is>
      </c>
      <c r="G51" t="inlineStr">
        <is>
          <t>SIMRISHAMN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14104-2024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46221</v>
      </c>
      <c r="F52" t="inlineStr">
        <is>
          <t>SKÅNE LÄN</t>
        </is>
      </c>
      <c r="G52" t="inlineStr">
        <is>
          <t>SIMRISHAMN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14106-2024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46221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6006-2024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45336</v>
      </c>
      <c r="E54" s="1" t="n">
        <v>46221</v>
      </c>
      <c r="F54" t="inlineStr">
        <is>
          <t>SKÅNE LÄN</t>
        </is>
      </c>
      <c r="G54" t="inlineStr">
        <is>
          <t>SIMRISHAMN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45318</v>
      </c>
      <c r="E55" s="1" t="n">
        <v>46221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3395-2024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45318</v>
      </c>
      <c r="E56" s="1" t="n">
        <v>46221</v>
      </c>
      <c r="F56" t="inlineStr">
        <is>
          <t>SKÅNE LÄN</t>
        </is>
      </c>
      <c r="G56" t="inlineStr">
        <is>
          <t>SIMRISHAMN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7584-2024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45348</v>
      </c>
      <c r="E57" s="1" t="n">
        <v>46221</v>
      </c>
      <c r="F57" t="inlineStr">
        <is>
          <t>SKÅNE LÄN</t>
        </is>
      </c>
      <c r="G57" t="inlineStr">
        <is>
          <t>SIMRISHAMN</t>
        </is>
      </c>
      <c r="I57" t="n">
        <v>6.9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35692-2024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46221</v>
      </c>
      <c r="F58" t="inlineStr">
        <is>
          <t>SKÅNE LÄN</t>
        </is>
      </c>
      <c r="G58" t="inlineStr">
        <is>
          <t>SIMRISHAMN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46221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39238-2023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45162</v>
      </c>
      <c r="E60" s="1" t="n">
        <v>46221</v>
      </c>
      <c r="F60" t="inlineStr">
        <is>
          <t>SKÅNE LÄN</t>
        </is>
      </c>
      <c r="G60" t="inlineStr">
        <is>
          <t>SIMRISHAMN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42374-2023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46221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20950-2023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46221</v>
      </c>
      <c r="F62" t="inlineStr">
        <is>
          <t>SKÅNE LÄN</t>
        </is>
      </c>
      <c r="G62" t="inlineStr">
        <is>
          <t>SIMRISHAMN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43724-2024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45569</v>
      </c>
      <c r="E63" s="1" t="n">
        <v>46221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30667-2023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45112</v>
      </c>
      <c r="E64" s="1" t="n">
        <v>46221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32488-2025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45838</v>
      </c>
      <c r="E65" s="1" t="n">
        <v>46221</v>
      </c>
      <c r="F65" t="inlineStr">
        <is>
          <t>SKÅNE LÄN</t>
        </is>
      </c>
      <c r="G65" t="inlineStr">
        <is>
          <t>SIMRISHAMN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45334</v>
      </c>
      <c r="E66" s="1" t="n">
        <v>46221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45162</v>
      </c>
      <c r="E67" s="1" t="n">
        <v>46221</v>
      </c>
      <c r="F67" t="inlineStr">
        <is>
          <t>SKÅNE LÄN</t>
        </is>
      </c>
      <c r="G67" t="inlineStr">
        <is>
          <t>SIMRISHAMN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26471-2023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46221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56764-2024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45628</v>
      </c>
      <c r="E69" s="1" t="n">
        <v>46221</v>
      </c>
      <c r="F69" t="inlineStr">
        <is>
          <t>SKÅNE LÄN</t>
        </is>
      </c>
      <c r="G69" t="inlineStr">
        <is>
          <t>SIMRISHAMN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17102-2025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45755</v>
      </c>
      <c r="E70" s="1" t="n">
        <v>46221</v>
      </c>
      <c r="F70" t="inlineStr">
        <is>
          <t>SKÅNE LÄN</t>
        </is>
      </c>
      <c r="G70" t="inlineStr">
        <is>
          <t>SIMRISHAMN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23287-2022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44720</v>
      </c>
      <c r="E71" s="1" t="n">
        <v>46221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3404-2024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45318</v>
      </c>
      <c r="E72" s="1" t="n">
        <v>46221</v>
      </c>
      <c r="F72" t="inlineStr">
        <is>
          <t>SKÅNE LÄN</t>
        </is>
      </c>
      <c r="G72" t="inlineStr">
        <is>
          <t>SIMRISHAMN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15039-2024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46221</v>
      </c>
      <c r="F73" t="inlineStr">
        <is>
          <t>SKÅNE LÄN</t>
        </is>
      </c>
      <c r="G73" t="inlineStr">
        <is>
          <t>SIMRISHAMN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14702-2024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46221</v>
      </c>
      <c r="F74" t="inlineStr">
        <is>
          <t>SKÅNE LÄN</t>
        </is>
      </c>
      <c r="G74" t="inlineStr">
        <is>
          <t>SIMRISHAMN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39221-2023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46221</v>
      </c>
      <c r="F75" t="inlineStr">
        <is>
          <t>SKÅNE LÄN</t>
        </is>
      </c>
      <c r="G75" t="inlineStr">
        <is>
          <t>SIMRISHAMN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46221</v>
      </c>
      <c r="F76" t="inlineStr">
        <is>
          <t>SKÅNE LÄN</t>
        </is>
      </c>
      <c r="G76" t="inlineStr">
        <is>
          <t>SIMRISHAMN</t>
        </is>
      </c>
      <c r="H76" t="inlineStr">
        <is>
          <t>Övriga Aktiebolag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46221</v>
      </c>
      <c r="F77" t="inlineStr">
        <is>
          <t>SKÅNE LÄN</t>
        </is>
      </c>
      <c r="G77" t="inlineStr">
        <is>
          <t>SIMRISHAMN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61876-2024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45652</v>
      </c>
      <c r="E78" s="1" t="n">
        <v>46221</v>
      </c>
      <c r="F78" t="inlineStr">
        <is>
          <t>SKÅNE LÄN</t>
        </is>
      </c>
      <c r="G78" t="inlineStr">
        <is>
          <t>SIMRISHAMN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3405-2024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45318</v>
      </c>
      <c r="E79" s="1" t="n">
        <v>46221</v>
      </c>
      <c r="F79" t="inlineStr">
        <is>
          <t>SKÅNE LÄN</t>
        </is>
      </c>
      <c r="G79" t="inlineStr">
        <is>
          <t>SIMRISHAMN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46221</v>
      </c>
      <c r="F80" t="inlineStr">
        <is>
          <t>SKÅNE LÄN</t>
        </is>
      </c>
      <c r="G80" t="inlineStr">
        <is>
          <t>SIMRISHAMN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56820-2024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45628</v>
      </c>
      <c r="E81" s="1" t="n">
        <v>46221</v>
      </c>
      <c r="F81" t="inlineStr">
        <is>
          <t>SKÅNE LÄN</t>
        </is>
      </c>
      <c r="G81" t="inlineStr">
        <is>
          <t>SIMRISHAMN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58985-2022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46221</v>
      </c>
      <c r="F82" t="inlineStr">
        <is>
          <t>SKÅNE LÄN</t>
        </is>
      </c>
      <c r="G82" t="inlineStr">
        <is>
          <t>SIMRISHAMN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62149-2022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44922</v>
      </c>
      <c r="E83" s="1" t="n">
        <v>46221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53978-2022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44876</v>
      </c>
      <c r="E84" s="1" t="n">
        <v>46221</v>
      </c>
      <c r="F84" t="inlineStr">
        <is>
          <t>SKÅNE LÄN</t>
        </is>
      </c>
      <c r="G84" t="inlineStr">
        <is>
          <t>SIMRISHAMN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20096-2024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46221</v>
      </c>
      <c r="F85" t="inlineStr">
        <is>
          <t>SKÅNE LÄN</t>
        </is>
      </c>
      <c r="G85" t="inlineStr">
        <is>
          <t>SIMRISHAMN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45320</v>
      </c>
      <c r="E86" s="1" t="n">
        <v>46221</v>
      </c>
      <c r="F86" t="inlineStr">
        <is>
          <t>SKÅNE LÄN</t>
        </is>
      </c>
      <c r="G86" t="inlineStr">
        <is>
          <t>SIMRISHAMN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44943</v>
      </c>
      <c r="E87" s="1" t="n">
        <v>46221</v>
      </c>
      <c r="F87" t="inlineStr">
        <is>
          <t>SKÅNE LÄN</t>
        </is>
      </c>
      <c r="G87" t="inlineStr">
        <is>
          <t>SIMRISHAMN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43851-2024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45572</v>
      </c>
      <c r="E88" s="1" t="n">
        <v>46221</v>
      </c>
      <c r="F88" t="inlineStr">
        <is>
          <t>SKÅNE LÄN</t>
        </is>
      </c>
      <c r="G88" t="inlineStr">
        <is>
          <t>SIMRISHAMN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42016-2022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44827</v>
      </c>
      <c r="E89" s="1" t="n">
        <v>46221</v>
      </c>
      <c r="F89" t="inlineStr">
        <is>
          <t>SKÅNE LÄN</t>
        </is>
      </c>
      <c r="G89" t="inlineStr">
        <is>
          <t>SIMRISHAMN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62316-2025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46006</v>
      </c>
      <c r="E90" s="1" t="n">
        <v>46221</v>
      </c>
      <c r="F90" t="inlineStr">
        <is>
          <t>SKÅNE LÄN</t>
        </is>
      </c>
      <c r="G90" t="inlineStr">
        <is>
          <t>SIMRISHAMN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46221</v>
      </c>
      <c r="F91" t="inlineStr">
        <is>
          <t>SKÅNE LÄN</t>
        </is>
      </c>
      <c r="G91" t="inlineStr">
        <is>
          <t>SIMRISHAMN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37052-2025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46221</v>
      </c>
      <c r="F92" t="inlineStr">
        <is>
          <t>SKÅNE LÄN</t>
        </is>
      </c>
      <c r="G92" t="inlineStr">
        <is>
          <t>SIMRISHAMN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42231-2023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46221</v>
      </c>
      <c r="F93" t="inlineStr">
        <is>
          <t>SKÅNE LÄN</t>
        </is>
      </c>
      <c r="G93" t="inlineStr">
        <is>
          <t>SIMRISHAMN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18005-2026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46125</v>
      </c>
      <c r="E94" s="1" t="n">
        <v>46221</v>
      </c>
      <c r="F94" t="inlineStr">
        <is>
          <t>SKÅNE LÄN</t>
        </is>
      </c>
      <c r="G94" t="inlineStr">
        <is>
          <t>SIMRISHAMN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46221</v>
      </c>
      <c r="F95" t="inlineStr">
        <is>
          <t>SKÅNE LÄN</t>
        </is>
      </c>
      <c r="G95" t="inlineStr">
        <is>
          <t>SIMRISHAMN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46221</v>
      </c>
      <c r="F96" t="inlineStr">
        <is>
          <t>SKÅNE LÄN</t>
        </is>
      </c>
      <c r="G96" t="inlineStr">
        <is>
          <t>SIMRISHAMN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46221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46221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46221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46221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46221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2026-07-18T01:22:55Z</dcterms:created>
  <dcterms:modified xmlns:dcterms="http://purl.org/dc/terms/" xmlns:xsi="http://www.w3.org/2001/XMLSchema-instance" xsi:type="dcterms:W3CDTF">2026-07-18T01:22:55Z</dcterms:modified>
</cp:coreProperties>
</file>