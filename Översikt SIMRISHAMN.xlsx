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46133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46133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46133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46133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46133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46133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2644-2026</t>
        </is>
      </c>
      <c r="B8" s="1" t="n">
        <v>46037.62291666667</v>
      </c>
      <c r="C8" s="1" t="n">
        <v>46133</v>
      </c>
      <c r="D8" t="inlineStr">
        <is>
          <t>SKÅNE LÄN</t>
        </is>
      </c>
      <c r="E8" t="inlineStr">
        <is>
          <t>SIMRISHAMN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Flikbålmossa</t>
        </is>
      </c>
      <c r="S8">
        <f>HYPERLINK("https://klasma.github.io/Logging_1291/artfynd/A 2644-2026 artfynd.xlsx", "A 2644-2026")</f>
        <v/>
      </c>
      <c r="T8">
        <f>HYPERLINK("https://klasma.github.io/Logging_1291/kartor/A 2644-2026 karta.png", "A 2644-2026")</f>
        <v/>
      </c>
      <c r="V8">
        <f>HYPERLINK("https://klasma.github.io/Logging_1291/klagomål/A 2644-2026 FSC-klagomål.docx", "A 2644-2026")</f>
        <v/>
      </c>
      <c r="W8">
        <f>HYPERLINK("https://klasma.github.io/Logging_1291/klagomålsmail/A 2644-2026 FSC-klagomål mail.docx", "A 2644-2026")</f>
        <v/>
      </c>
      <c r="X8">
        <f>HYPERLINK("https://klasma.github.io/Logging_1291/tillsyn/A 2644-2026 tillsynsbegäran.docx", "A 2644-2026")</f>
        <v/>
      </c>
      <c r="Y8">
        <f>HYPERLINK("https://klasma.github.io/Logging_1291/tillsynsmail/A 2644-2026 tillsynsbegäran mail.docx", "A 2644-2026")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46133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46133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46133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46133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46133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46133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46133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46133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46133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46133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42016-2022</t>
        </is>
      </c>
      <c r="B19" s="1" t="n">
        <v>44827</v>
      </c>
      <c r="C19" s="1" t="n">
        <v>46133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46133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46133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46133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42374-2023</t>
        </is>
      </c>
      <c r="B23" s="1" t="n">
        <v>45180.5609375</v>
      </c>
      <c r="C23" s="1" t="n">
        <v>46133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46133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46133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46133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46133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23052-2025</t>
        </is>
      </c>
      <c r="B28" s="1" t="n">
        <v>45790.71023148148</v>
      </c>
      <c r="C28" s="1" t="n">
        <v>46133</v>
      </c>
      <c r="D28" t="inlineStr">
        <is>
          <t>SKÅNE LÄN</t>
        </is>
      </c>
      <c r="E28" t="inlineStr">
        <is>
          <t>SIMRISHAMN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46133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62316-2025</t>
        </is>
      </c>
      <c r="B30" s="1" t="n">
        <v>46006.69094907407</v>
      </c>
      <c r="C30" s="1" t="n">
        <v>46133</v>
      </c>
      <c r="D30" t="inlineStr">
        <is>
          <t>SKÅNE LÄN</t>
        </is>
      </c>
      <c r="E30" t="inlineStr">
        <is>
          <t>SIMRISHAMN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3398-2024</t>
        </is>
      </c>
      <c r="B31" s="1" t="n">
        <v>45318</v>
      </c>
      <c r="C31" s="1" t="n">
        <v>46133</v>
      </c>
      <c r="D31" t="inlineStr">
        <is>
          <t>SKÅNE LÄN</t>
        </is>
      </c>
      <c r="E31" t="inlineStr">
        <is>
          <t>SIMRISHAMN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46133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62357-2025</t>
        </is>
      </c>
      <c r="B33" s="1" t="n">
        <v>46007</v>
      </c>
      <c r="C33" s="1" t="n">
        <v>46133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6006-2024</t>
        </is>
      </c>
      <c r="B34" s="1" t="n">
        <v>45336</v>
      </c>
      <c r="C34" s="1" t="n">
        <v>46133</v>
      </c>
      <c r="D34" t="inlineStr">
        <is>
          <t>SKÅNE LÄN</t>
        </is>
      </c>
      <c r="E34" t="inlineStr">
        <is>
          <t>SIMRISHAMN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46133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45397.50576388889</v>
      </c>
      <c r="C36" s="1" t="n">
        <v>46133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19439-2024</t>
        </is>
      </c>
      <c r="B37" s="1" t="n">
        <v>45429</v>
      </c>
      <c r="C37" s="1" t="n">
        <v>46133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46133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46133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32488-2025</t>
        </is>
      </c>
      <c r="B40" s="1" t="n">
        <v>45838</v>
      </c>
      <c r="C40" s="1" t="n">
        <v>46133</v>
      </c>
      <c r="D40" t="inlineStr">
        <is>
          <t>SKÅNE LÄN</t>
        </is>
      </c>
      <c r="E40" t="inlineStr">
        <is>
          <t>SIMRISHAMN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46133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46133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46133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46133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19137-2025</t>
        </is>
      </c>
      <c r="B45" s="1" t="n">
        <v>45769</v>
      </c>
      <c r="C45" s="1" t="n">
        <v>46133</v>
      </c>
      <c r="D45" t="inlineStr">
        <is>
          <t>SKÅNE LÄN</t>
        </is>
      </c>
      <c r="E45" t="inlineStr">
        <is>
          <t>SIMRISHAMN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19141-2025</t>
        </is>
      </c>
      <c r="B46" s="1" t="n">
        <v>45769</v>
      </c>
      <c r="C46" s="1" t="n">
        <v>46133</v>
      </c>
      <c r="D46" t="inlineStr">
        <is>
          <t>SKÅNE LÄN</t>
        </is>
      </c>
      <c r="E46" t="inlineStr">
        <is>
          <t>SIMRISHAMN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3392-2024</t>
        </is>
      </c>
      <c r="B47" s="1" t="n">
        <v>45318</v>
      </c>
      <c r="C47" s="1" t="n">
        <v>46133</v>
      </c>
      <c r="D47" t="inlineStr">
        <is>
          <t>SKÅNE LÄN</t>
        </is>
      </c>
      <c r="E47" t="inlineStr">
        <is>
          <t>SIMRISHAMN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6830-2025</t>
        </is>
      </c>
      <c r="B48" s="1" t="n">
        <v>45700</v>
      </c>
      <c r="C48" s="1" t="n">
        <v>46133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46133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49303-2025</t>
        </is>
      </c>
      <c r="B50" s="1" t="n">
        <v>45938.55403935185</v>
      </c>
      <c r="C50" s="1" t="n">
        <v>46133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37189-2025</t>
        </is>
      </c>
      <c r="B51" s="1" t="n">
        <v>45875</v>
      </c>
      <c r="C51" s="1" t="n">
        <v>46133</v>
      </c>
      <c r="D51" t="inlineStr">
        <is>
          <t>SKÅNE LÄN</t>
        </is>
      </c>
      <c r="E51" t="inlineStr">
        <is>
          <t>SIMRISHAMN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37052-2025</t>
        </is>
      </c>
      <c r="B52" s="1" t="n">
        <v>45875</v>
      </c>
      <c r="C52" s="1" t="n">
        <v>46133</v>
      </c>
      <c r="D52" t="inlineStr">
        <is>
          <t>SKÅNE LÄN</t>
        </is>
      </c>
      <c r="E52" t="inlineStr">
        <is>
          <t>SIMRISHAMN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19693-2025</t>
        </is>
      </c>
      <c r="B53" s="1" t="n">
        <v>45771.25997685185</v>
      </c>
      <c r="C53" s="1" t="n">
        <v>46133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2554-2023</t>
        </is>
      </c>
      <c r="B54" s="1" t="n">
        <v>44943.67172453704</v>
      </c>
      <c r="C54" s="1" t="n">
        <v>46133</v>
      </c>
      <c r="D54" t="inlineStr">
        <is>
          <t>SKÅNE LÄN</t>
        </is>
      </c>
      <c r="E54" t="inlineStr">
        <is>
          <t>SIMRISHAMN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42231-2023</t>
        </is>
      </c>
      <c r="B55" s="1" t="n">
        <v>45180.31387731482</v>
      </c>
      <c r="C55" s="1" t="n">
        <v>46133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46133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46133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46133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46133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3602-2024</t>
        </is>
      </c>
      <c r="B60" s="1" t="n">
        <v>45320</v>
      </c>
      <c r="C60" s="1" t="n">
        <v>46133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38846-2024</t>
        </is>
      </c>
      <c r="B61" s="1" t="n">
        <v>45547.60444444444</v>
      </c>
      <c r="C61" s="1" t="n">
        <v>46133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3367-2024</t>
        </is>
      </c>
      <c r="B62" s="1" t="n">
        <v>45317</v>
      </c>
      <c r="C62" s="1" t="n">
        <v>46133</v>
      </c>
      <c r="D62" t="inlineStr">
        <is>
          <t>SKÅNE LÄN</t>
        </is>
      </c>
      <c r="E62" t="inlineStr">
        <is>
          <t>SIMRISHAMN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60059-2025</t>
        </is>
      </c>
      <c r="B63" s="1" t="n">
        <v>45993.65428240741</v>
      </c>
      <c r="C63" s="1" t="n">
        <v>46133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46133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46133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1910-2026</t>
        </is>
      </c>
      <c r="B66" s="1" t="n">
        <v>46035</v>
      </c>
      <c r="C66" s="1" t="n">
        <v>46133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46133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46133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46133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46133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46133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17022-2026</t>
        </is>
      </c>
      <c r="B72" s="1" t="n">
        <v>46114.45508101852</v>
      </c>
      <c r="C72" s="1" t="n">
        <v>46133</v>
      </c>
      <c r="D72" t="inlineStr">
        <is>
          <t>SKÅNE LÄN</t>
        </is>
      </c>
      <c r="E72" t="inlineStr">
        <is>
          <t>SIMRISHAMN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19435-2024</t>
        </is>
      </c>
      <c r="B73" s="1" t="n">
        <v>45429</v>
      </c>
      <c r="C73" s="1" t="n">
        <v>46133</v>
      </c>
      <c r="D73" t="inlineStr">
        <is>
          <t>SKÅNE LÄN</t>
        </is>
      </c>
      <c r="E73" t="inlineStr">
        <is>
          <t>SIMRISHAMN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17038-2026</t>
        </is>
      </c>
      <c r="B74" s="1" t="n">
        <v>46114.47072916666</v>
      </c>
      <c r="C74" s="1" t="n">
        <v>46133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63464-2023</t>
        </is>
      </c>
      <c r="B75" s="1" t="n">
        <v>45273</v>
      </c>
      <c r="C75" s="1" t="n">
        <v>46133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30911-2024</t>
        </is>
      </c>
      <c r="B76" s="1" t="n">
        <v>45498.5925</v>
      </c>
      <c r="C76" s="1" t="n">
        <v>46133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18002-2026</t>
        </is>
      </c>
      <c r="B77" s="1" t="n">
        <v>46125.28149305555</v>
      </c>
      <c r="C77" s="1" t="n">
        <v>46133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58985-2022</t>
        </is>
      </c>
      <c r="B78" s="1" t="n">
        <v>44903.69670138889</v>
      </c>
      <c r="C78" s="1" t="n">
        <v>46133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18005-2026</t>
        </is>
      </c>
      <c r="B79" s="1" t="n">
        <v>46125</v>
      </c>
      <c r="C79" s="1" t="n">
        <v>46133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43724-2024</t>
        </is>
      </c>
      <c r="B80" s="1" t="n">
        <v>45569.63178240741</v>
      </c>
      <c r="C80" s="1" t="n">
        <v>46133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14103-2024</t>
        </is>
      </c>
      <c r="B81" s="1" t="n">
        <v>45392</v>
      </c>
      <c r="C81" s="1" t="n">
        <v>46133</v>
      </c>
      <c r="D81" t="inlineStr">
        <is>
          <t>SKÅNE LÄN</t>
        </is>
      </c>
      <c r="E81" t="inlineStr">
        <is>
          <t>SIMRISHAMN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14994-2022</t>
        </is>
      </c>
      <c r="B82" s="1" t="n">
        <v>44657.53449074074</v>
      </c>
      <c r="C82" s="1" t="n">
        <v>46133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7584-2024</t>
        </is>
      </c>
      <c r="B83" s="1" t="n">
        <v>45348</v>
      </c>
      <c r="C83" s="1" t="n">
        <v>46133</v>
      </c>
      <c r="D83" t="inlineStr">
        <is>
          <t>SKÅNE LÄN</t>
        </is>
      </c>
      <c r="E83" t="inlineStr">
        <is>
          <t>SIMRISHAMN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18682-2023</t>
        </is>
      </c>
      <c r="B84" s="1" t="n">
        <v>45043.60021990741</v>
      </c>
      <c r="C84" s="1" t="n">
        <v>46133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22194-2023</t>
        </is>
      </c>
      <c r="B85" s="1" t="n">
        <v>45069</v>
      </c>
      <c r="C85" s="1" t="n">
        <v>46133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46133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39238-2023</t>
        </is>
      </c>
      <c r="B87" s="1" t="n">
        <v>45162</v>
      </c>
      <c r="C87" s="1" t="n">
        <v>46133</v>
      </c>
      <c r="D87" t="inlineStr">
        <is>
          <t>SKÅNE LÄN</t>
        </is>
      </c>
      <c r="E87" t="inlineStr">
        <is>
          <t>SIMRISHAMN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7716-2024</t>
        </is>
      </c>
      <c r="B88" s="1" t="n">
        <v>45349</v>
      </c>
      <c r="C88" s="1" t="n">
        <v>46133</v>
      </c>
      <c r="D88" t="inlineStr">
        <is>
          <t>SKÅNE LÄN</t>
        </is>
      </c>
      <c r="E88" t="inlineStr">
        <is>
          <t>SIMRISHAMN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23287-2022</t>
        </is>
      </c>
      <c r="B89" s="1" t="n">
        <v>44720</v>
      </c>
      <c r="C89" s="1" t="n">
        <v>46133</v>
      </c>
      <c r="D89" t="inlineStr">
        <is>
          <t>SKÅNE LÄN</t>
        </is>
      </c>
      <c r="E89" t="inlineStr">
        <is>
          <t>SIMRISHAMN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17102-2025</t>
        </is>
      </c>
      <c r="B90" s="1" t="n">
        <v>45755</v>
      </c>
      <c r="C90" s="1" t="n">
        <v>46133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35692-2024</t>
        </is>
      </c>
      <c r="B91" s="1" t="n">
        <v>45532</v>
      </c>
      <c r="C91" s="1" t="n">
        <v>46133</v>
      </c>
      <c r="D91" t="inlineStr">
        <is>
          <t>SKÅNE LÄN</t>
        </is>
      </c>
      <c r="E91" t="inlineStr">
        <is>
          <t>SIMRISHAMN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3604-2024</t>
        </is>
      </c>
      <c r="B92" s="1" t="n">
        <v>45320</v>
      </c>
      <c r="C92" s="1" t="n">
        <v>46133</v>
      </c>
      <c r="D92" t="inlineStr">
        <is>
          <t>SKÅNE LÄN</t>
        </is>
      </c>
      <c r="E92" t="inlineStr">
        <is>
          <t>SIMRISHAMN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62413-2022</t>
        </is>
      </c>
      <c r="B93" s="1" t="n">
        <v>44923</v>
      </c>
      <c r="C93" s="1" t="n">
        <v>46133</v>
      </c>
      <c r="D93" t="inlineStr">
        <is>
          <t>SKÅNE LÄN</t>
        </is>
      </c>
      <c r="E93" t="inlineStr">
        <is>
          <t>SIMRISHAMN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46133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46133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46133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39834-2021</t>
        </is>
      </c>
      <c r="B97" s="1" t="n">
        <v>44417</v>
      </c>
      <c r="C97" s="1" t="n">
        <v>46133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46133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25475-2023</t>
        </is>
      </c>
      <c r="B99" s="1" t="n">
        <v>45089</v>
      </c>
      <c r="C99" s="1" t="n">
        <v>46133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18856-2024</t>
        </is>
      </c>
      <c r="B100" s="1" t="n">
        <v>45426</v>
      </c>
      <c r="C100" s="1" t="n">
        <v>46133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15039-2024</t>
        </is>
      </c>
      <c r="B101" s="1" t="n">
        <v>45399</v>
      </c>
      <c r="C101" s="1" t="n">
        <v>46133</v>
      </c>
      <c r="D101" t="inlineStr">
        <is>
          <t>SKÅNE LÄN</t>
        </is>
      </c>
      <c r="E101" t="inlineStr">
        <is>
          <t>SIMRISHAMN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17110-2025</t>
        </is>
      </c>
      <c r="B102" s="1" t="n">
        <v>45755</v>
      </c>
      <c r="C102" s="1" t="n">
        <v>46133</v>
      </c>
      <c r="D102" t="inlineStr">
        <is>
          <t>SKÅNE LÄN</t>
        </is>
      </c>
      <c r="E102" t="inlineStr">
        <is>
          <t>SIMRISHAMN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26471-2023</t>
        </is>
      </c>
      <c r="B103" s="1" t="n">
        <v>45092</v>
      </c>
      <c r="C103" s="1" t="n">
        <v>46133</v>
      </c>
      <c r="D103" t="inlineStr">
        <is>
          <t>SKÅNE LÄN</t>
        </is>
      </c>
      <c r="E103" t="inlineStr">
        <is>
          <t>SIMRISHAMN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3402-2024</t>
        </is>
      </c>
      <c r="B104" s="1" t="n">
        <v>45318</v>
      </c>
      <c r="C104" s="1" t="n">
        <v>46133</v>
      </c>
      <c r="D104" t="inlineStr">
        <is>
          <t>SKÅNE LÄN</t>
        </is>
      </c>
      <c r="E104" t="inlineStr">
        <is>
          <t>SIMRISHAMN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39015-2023</t>
        </is>
      </c>
      <c r="B105" s="1" t="n">
        <v>45162</v>
      </c>
      <c r="C105" s="1" t="n">
        <v>46133</v>
      </c>
      <c r="D105" t="inlineStr">
        <is>
          <t>SKÅNE LÄN</t>
        </is>
      </c>
      <c r="E105" t="inlineStr">
        <is>
          <t>SIMRISHAMN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56820-2024</t>
        </is>
      </c>
      <c r="B106" s="1" t="n">
        <v>45628</v>
      </c>
      <c r="C106" s="1" t="n">
        <v>46133</v>
      </c>
      <c r="D106" t="inlineStr">
        <is>
          <t>SKÅNE LÄN</t>
        </is>
      </c>
      <c r="E106" t="inlineStr">
        <is>
          <t>SIMRISHAMN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56764-2024</t>
        </is>
      </c>
      <c r="B107" s="1" t="n">
        <v>45628</v>
      </c>
      <c r="C107" s="1" t="n">
        <v>46133</v>
      </c>
      <c r="D107" t="inlineStr">
        <is>
          <t>SKÅNE LÄN</t>
        </is>
      </c>
      <c r="E107" t="inlineStr">
        <is>
          <t>SIMRISHAMN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47874-2023</t>
        </is>
      </c>
      <c r="B108" s="1" t="n">
        <v>45204</v>
      </c>
      <c r="C108" s="1" t="n">
        <v>46133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