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46275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46275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46275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46275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22194-2023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46275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11.4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Sandödla</t>
        </is>
      </c>
      <c r="W12">
        <f>HYPERLINK("https://klasma.github.io/Logging_1291/artfynd/A 22194-2023 artfynd.xlsx", "A 22194-2023")</f>
        <v/>
      </c>
      <c r="X12">
        <f>HYPERLINK("https://klasma.github.io/Logging_1291/kartor/A 22194-2023 karta.png", "A 22194-2023")</f>
        <v/>
      </c>
      <c r="Y12">
        <f>HYPERLINK("https://klasma.github.io/Logging_1291/kartor_geotiff/A 22194-2023 georefererad karta.tif", "A 22194-2023")</f>
        <v/>
      </c>
      <c r="AA12">
        <f>HYPERLINK("https://klasma.github.io/Logging_1291/klagomål/A 22194-2023 FSC-klagomål.docx", "A 22194-2023")</f>
        <v/>
      </c>
      <c r="AB12">
        <f>HYPERLINK("https://klasma.github.io/Logging_1291/klagomålsmail/A 22194-2023 FSC-klagomål mail.docx", "A 22194-2023")</f>
        <v/>
      </c>
      <c r="AC12">
        <f>HYPERLINK("https://klasma.github.io/Logging_1291/tillsyn/A 22194-2023 tillsynsbegäran.docx", "A 22194-2023")</f>
        <v/>
      </c>
      <c r="AD12">
        <f>HYPERLINK("https://klasma.github.io/Logging_1291/tillsynsmail/A 22194-2023 tillsynsbegäran mail.docx", "A 22194-2023")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46275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46275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20090-2024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46275</v>
      </c>
      <c r="F15" t="inlineStr">
        <is>
          <t>SKÅNE LÄN</t>
        </is>
      </c>
      <c r="G15" t="inlineStr">
        <is>
          <t>SIMRISHAMN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20090-2024 artfynd.xlsx", "A 20090-2024")</f>
        <v/>
      </c>
      <c r="X15">
        <f>HYPERLINK("https://klasma.github.io/Logging_1291/kartor/A 20090-2024 karta.png", "A 20090-2024")</f>
        <v/>
      </c>
      <c r="Y15">
        <f>HYPERLINK("https://klasma.github.io/Logging_1291/kartor_geotiff/A 20090-2024 georefererad karta.tif", "A 20090-2024")</f>
        <v/>
      </c>
      <c r="AA15">
        <f>HYPERLINK("https://klasma.github.io/Logging_1291/klagomål/A 20090-2024 FSC-klagomål.docx", "A 20090-2024")</f>
        <v/>
      </c>
      <c r="AB15">
        <f>HYPERLINK("https://klasma.github.io/Logging_1291/klagomålsmail/A 20090-2024 FSC-klagomål mail.docx", "A 20090-2024")</f>
        <v/>
      </c>
      <c r="AC15">
        <f>HYPERLINK("https://klasma.github.io/Logging_1291/tillsyn/A 20090-2024 tillsynsbegäran.docx", "A 20090-2024")</f>
        <v/>
      </c>
      <c r="AD15">
        <f>HYPERLINK("https://klasma.github.io/Logging_1291/tillsynsmail/A 20090-2024 tillsynsbegäran mail.docx", "A 20090-2024")</f>
        <v/>
      </c>
    </row>
    <row r="16" ht="15" customHeight="1">
      <c r="A16" t="inlineStr">
        <is>
          <t>A 50134-2024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46275</v>
      </c>
      <c r="F16" t="inlineStr">
        <is>
          <t>SKÅNE LÄN</t>
        </is>
      </c>
      <c r="G16" t="inlineStr">
        <is>
          <t>SIMRISHAMN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50134-2024 artfynd.xlsx", "A 50134-2024")</f>
        <v/>
      </c>
      <c r="X16">
        <f>HYPERLINK("https://klasma.github.io/Logging_1291/kartor/A 50134-2024 karta.png", "A 50134-2024")</f>
        <v/>
      </c>
      <c r="Y16">
        <f>HYPERLINK("https://klasma.github.io/Logging_1291/kartor_geotiff/A 50134-2024 georefererad karta.tif", "A 50134-2024")</f>
        <v/>
      </c>
      <c r="AA16">
        <f>HYPERLINK("https://klasma.github.io/Logging_1291/klagomål/A 50134-2024 FSC-klagomål.docx", "A 50134-2024")</f>
        <v/>
      </c>
      <c r="AB16">
        <f>HYPERLINK("https://klasma.github.io/Logging_1291/klagomålsmail/A 50134-2024 FSC-klagomål mail.docx", "A 50134-2024")</f>
        <v/>
      </c>
      <c r="AC16">
        <f>HYPERLINK("https://klasma.github.io/Logging_1291/tillsyn/A 50134-2024 tillsynsbegäran.docx", "A 50134-2024")</f>
        <v/>
      </c>
      <c r="AD16">
        <f>HYPERLINK("https://klasma.github.io/Logging_1291/tillsynsmail/A 50134-2024 tillsynsbegäran mail.docx", "A 50134-2024")</f>
        <v/>
      </c>
    </row>
    <row r="17" ht="15" customHeight="1">
      <c r="A17" t="inlineStr">
        <is>
          <t>A 3401-2024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45318</v>
      </c>
      <c r="E17" s="1" t="n">
        <v>46275</v>
      </c>
      <c r="F17" t="inlineStr">
        <is>
          <t>SKÅNE LÄN</t>
        </is>
      </c>
      <c r="G17" t="inlineStr">
        <is>
          <t>SIMRISHAMN</t>
        </is>
      </c>
      <c r="I17" t="n">
        <v>6.8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HYPERLINK("https://klasma.github.io/Logging_1291/artfynd/A 3401-2024 artfynd.xlsx", "A 3401-2024")</f>
        <v/>
      </c>
      <c r="X17">
        <f>HYPERLINK("https://klasma.github.io/Logging_1291/kartor/A 3401-2024 karta.png", "A 3401-2024")</f>
        <v/>
      </c>
      <c r="Y17">
        <f>HYPERLINK("https://klasma.github.io/Logging_1291/kartor_geotiff/A 3401-2024 georefererad karta.tif", "A 3401-2024")</f>
        <v/>
      </c>
      <c r="AA17">
        <f>HYPERLINK("https://klasma.github.io/Logging_1291/klagomål/A 3401-2024 FSC-klagomål.docx", "A 3401-2024")</f>
        <v/>
      </c>
      <c r="AB17">
        <f>HYPERLINK("https://klasma.github.io/Logging_1291/klagomålsmail/A 3401-2024 FSC-klagomål mail.docx", "A 3401-2024")</f>
        <v/>
      </c>
      <c r="AC17">
        <f>HYPERLINK("https://klasma.github.io/Logging_1291/tillsyn/A 3401-2024 tillsynsbegäran.docx", "A 3401-2024")</f>
        <v/>
      </c>
      <c r="AD17">
        <f>HYPERLINK("https://klasma.github.io/Logging_1291/tillsynsmail/A 3401-2024 tillsynsbegäran mail.docx", "A 3401-2024")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46275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17038-2026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46275</v>
      </c>
      <c r="F19" t="inlineStr">
        <is>
          <t>SKÅNE LÄN</t>
        </is>
      </c>
      <c r="G19" t="inlineStr">
        <is>
          <t>SIMRISHAMN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Hasselmus</t>
        </is>
      </c>
      <c r="W19">
        <f>HYPERLINK("https://klasma.github.io/Logging_1291/artfynd/A 17038-2026 artfynd.xlsx", "A 17038-2026")</f>
        <v/>
      </c>
      <c r="X19">
        <f>HYPERLINK("https://klasma.github.io/Logging_1291/kartor/A 17038-2026 karta.png", "A 17038-2026")</f>
        <v/>
      </c>
      <c r="Y19">
        <f>HYPERLINK("https://klasma.github.io/Logging_1291/kartor_geotiff/A 17038-2026 georefererad karta.tif", "A 17038-2026")</f>
        <v/>
      </c>
      <c r="AA19">
        <f>HYPERLINK("https://klasma.github.io/Logging_1291/klagomål/A 17038-2026 FSC-klagomål.docx", "A 17038-2026")</f>
        <v/>
      </c>
      <c r="AB19">
        <f>HYPERLINK("https://klasma.github.io/Logging_1291/klagomålsmail/A 17038-2026 FSC-klagomål mail.docx", "A 17038-2026")</f>
        <v/>
      </c>
      <c r="AC19">
        <f>HYPERLINK("https://klasma.github.io/Logging_1291/tillsyn/A 17038-2026 tillsynsbegäran.docx", "A 17038-2026")</f>
        <v/>
      </c>
      <c r="AD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46275</v>
      </c>
      <c r="F20" t="inlineStr">
        <is>
          <t>SKÅNE LÄN</t>
        </is>
      </c>
      <c r="G20" t="inlineStr">
        <is>
          <t>SIMRISHAMN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Hasselmus</t>
        </is>
      </c>
      <c r="W20">
        <f>HYPERLINK("https://klasma.github.io/Logging_1291/artfynd/A 17022-2026 artfynd.xlsx", "A 17022-2026")</f>
        <v/>
      </c>
      <c r="X20">
        <f>HYPERLINK("https://klasma.github.io/Logging_1291/kartor/A 17022-2026 karta.png", "A 17022-2026")</f>
        <v/>
      </c>
      <c r="Y20">
        <f>HYPERLINK("https://klasma.github.io/Logging_1291/kartor_geotiff/A 17022-2026 georefererad karta.tif", "A 17022-2026")</f>
        <v/>
      </c>
      <c r="AA20">
        <f>HYPERLINK("https://klasma.github.io/Logging_1291/klagomål/A 17022-2026 FSC-klagomål.docx", "A 17022-2026")</f>
        <v/>
      </c>
      <c r="AB20">
        <f>HYPERLINK("https://klasma.github.io/Logging_1291/klagomålsmail/A 17022-2026 FSC-klagomål mail.docx", "A 17022-2026")</f>
        <v/>
      </c>
      <c r="AC20">
        <f>HYPERLINK("https://klasma.github.io/Logging_1291/tillsyn/A 17022-2026 tillsynsbegäran.docx", "A 17022-2026")</f>
        <v/>
      </c>
      <c r="AD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46275</v>
      </c>
      <c r="F21" t="inlineStr">
        <is>
          <t>SKÅNE LÄN</t>
        </is>
      </c>
      <c r="G21" t="inlineStr">
        <is>
          <t>SIMRISHAMN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18002-2026 artfynd.xlsx", "A 18002-2026")</f>
        <v/>
      </c>
      <c r="X21">
        <f>HYPERLINK("https://klasma.github.io/Logging_1291/kartor/A 18002-2026 karta.png", "A 18002-2026")</f>
        <v/>
      </c>
      <c r="Y21">
        <f>HYPERLINK("https://klasma.github.io/Logging_1291/kartor_geotiff/A 18002-2026 georefererad karta.tif", "A 18002-2026")</f>
        <v/>
      </c>
      <c r="AA21">
        <f>HYPERLINK("https://klasma.github.io/Logging_1291/klagomål/A 18002-2026 FSC-klagomål.docx", "A 18002-2026")</f>
        <v/>
      </c>
      <c r="AB21">
        <f>HYPERLINK("https://klasma.github.io/Logging_1291/klagomålsmail/A 18002-2026 FSC-klagomål mail.docx", "A 18002-2026")</f>
        <v/>
      </c>
      <c r="AC21">
        <f>HYPERLINK("https://klasma.github.io/Logging_1291/tillsyn/A 18002-2026 tillsynsbegäran.docx", "A 18002-2026")</f>
        <v/>
      </c>
      <c r="AD21">
        <f>HYPERLINK("https://klasma.github.io/Logging_1291/tillsynsmail/A 18002-2026 tillsynsbegäran mail.docx", "A 18002-2026")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46275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46275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46275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46275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46275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46275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46275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63456-2023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45273</v>
      </c>
      <c r="E29" s="1" t="n">
        <v>46275</v>
      </c>
      <c r="F29" t="inlineStr">
        <is>
          <t>SKÅNE LÄN</t>
        </is>
      </c>
      <c r="G29" t="inlineStr">
        <is>
          <t>SIMRISHAMN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45329</v>
      </c>
      <c r="E30" s="1" t="n">
        <v>46275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46275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26471-2023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46275</v>
      </c>
      <c r="F32" t="inlineStr">
        <is>
          <t>SKÅNE LÄN</t>
        </is>
      </c>
      <c r="G32" t="inlineStr">
        <is>
          <t>SIMRISHAMN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45628</v>
      </c>
      <c r="E33" s="1" t="n">
        <v>46275</v>
      </c>
      <c r="F33" t="inlineStr">
        <is>
          <t>SKÅNE LÄN</t>
        </is>
      </c>
      <c r="G33" t="inlineStr">
        <is>
          <t>SIMRISHAMN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46275</v>
      </c>
      <c r="F34" t="inlineStr">
        <is>
          <t>SKÅNE LÄN</t>
        </is>
      </c>
      <c r="G34" t="inlineStr">
        <is>
          <t>SIMRISHAMN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45740</v>
      </c>
      <c r="E35" s="1" t="n">
        <v>46275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46275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18.4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45043</v>
      </c>
      <c r="E37" s="1" t="n">
        <v>46275</v>
      </c>
      <c r="F37" t="inlineStr">
        <is>
          <t>SKÅNE LÄN</t>
        </is>
      </c>
      <c r="G37" t="inlineStr">
        <is>
          <t>SIMRISHAMN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40584-2024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45555</v>
      </c>
      <c r="E38" s="1" t="n">
        <v>46275</v>
      </c>
      <c r="F38" t="inlineStr">
        <is>
          <t>SKÅNE LÄN</t>
        </is>
      </c>
      <c r="G38" t="inlineStr">
        <is>
          <t>SIMRISHAMN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45317</v>
      </c>
      <c r="E39" s="1" t="n">
        <v>46275</v>
      </c>
      <c r="F39" t="inlineStr">
        <is>
          <t>SKÅNE LÄN</t>
        </is>
      </c>
      <c r="G39" t="inlineStr">
        <is>
          <t>SIMRISHAMN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44978</v>
      </c>
      <c r="E40" s="1" t="n">
        <v>46275</v>
      </c>
      <c r="F40" t="inlineStr">
        <is>
          <t>SKÅNE LÄN</t>
        </is>
      </c>
      <c r="G40" t="inlineStr">
        <is>
          <t>SIMRISHAMN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45498</v>
      </c>
      <c r="E41" s="1" t="n">
        <v>46275</v>
      </c>
      <c r="F41" t="inlineStr">
        <is>
          <t>SKÅNE LÄN</t>
        </is>
      </c>
      <c r="G41" t="inlineStr">
        <is>
          <t>SIMRISHAMN</t>
        </is>
      </c>
      <c r="H41" t="inlineStr">
        <is>
          <t>Övriga Aktiebolag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42231-2023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46275</v>
      </c>
      <c r="F42" t="inlineStr">
        <is>
          <t>SKÅNE LÄN</t>
        </is>
      </c>
      <c r="G42" t="inlineStr">
        <is>
          <t>SIMRISHAMN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25475-2023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46275</v>
      </c>
      <c r="F43" t="inlineStr">
        <is>
          <t>SKÅNE LÄN</t>
        </is>
      </c>
      <c r="G43" t="inlineStr">
        <is>
          <t>SIMRISHAMN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46275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38846-2024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46275</v>
      </c>
      <c r="F45" t="inlineStr">
        <is>
          <t>SKÅNE LÄN</t>
        </is>
      </c>
      <c r="G45" t="inlineStr">
        <is>
          <t>SIMRISHAMN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45392</v>
      </c>
      <c r="E46" s="1" t="n">
        <v>46275</v>
      </c>
      <c r="F46" t="inlineStr">
        <is>
          <t>SKÅNE LÄN</t>
        </is>
      </c>
      <c r="G46" t="inlineStr">
        <is>
          <t>SIMRISHAMN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19435-2024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46275</v>
      </c>
      <c r="F47" t="inlineStr">
        <is>
          <t>SKÅNE LÄN</t>
        </is>
      </c>
      <c r="G47" t="inlineStr">
        <is>
          <t>SIMRISHAMN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45392</v>
      </c>
      <c r="E48" s="1" t="n">
        <v>46275</v>
      </c>
      <c r="F48" t="inlineStr">
        <is>
          <t>SKÅNE LÄN</t>
        </is>
      </c>
      <c r="G48" t="inlineStr">
        <is>
          <t>SIMRISHAMN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14106-2024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45392</v>
      </c>
      <c r="E49" s="1" t="n">
        <v>46275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45336</v>
      </c>
      <c r="E50" s="1" t="n">
        <v>46275</v>
      </c>
      <c r="F50" t="inlineStr">
        <is>
          <t>SKÅNE LÄN</t>
        </is>
      </c>
      <c r="G50" t="inlineStr">
        <is>
          <t>SIMRISHAMN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45318</v>
      </c>
      <c r="E51" s="1" t="n">
        <v>46275</v>
      </c>
      <c r="F51" t="inlineStr">
        <is>
          <t>SKÅNE LÄN</t>
        </is>
      </c>
      <c r="G51" t="inlineStr">
        <is>
          <t>SIMRISHAMN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45318</v>
      </c>
      <c r="E52" s="1" t="n">
        <v>46275</v>
      </c>
      <c r="F52" t="inlineStr">
        <is>
          <t>SKÅNE LÄN</t>
        </is>
      </c>
      <c r="G52" t="inlineStr">
        <is>
          <t>SIMRISHAMN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45343</v>
      </c>
      <c r="E53" s="1" t="n">
        <v>46275</v>
      </c>
      <c r="F53" t="inlineStr">
        <is>
          <t>SKÅNE LÄN</t>
        </is>
      </c>
      <c r="G53" t="inlineStr">
        <is>
          <t>SIMRISHAMN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50138-2024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45600</v>
      </c>
      <c r="E54" s="1" t="n">
        <v>46275</v>
      </c>
      <c r="F54" t="inlineStr">
        <is>
          <t>SKÅNE LÄN</t>
        </is>
      </c>
      <c r="G54" t="inlineStr">
        <is>
          <t>SIMRISHAMN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45348</v>
      </c>
      <c r="E55" s="1" t="n">
        <v>46275</v>
      </c>
      <c r="F55" t="inlineStr">
        <is>
          <t>SKÅNE LÄN</t>
        </is>
      </c>
      <c r="G55" t="inlineStr">
        <is>
          <t>SIMRISHAMN</t>
        </is>
      </c>
      <c r="I55" t="n">
        <v>6.9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46275</v>
      </c>
      <c r="F56" t="inlineStr">
        <is>
          <t>SKÅNE LÄN</t>
        </is>
      </c>
      <c r="G56" t="inlineStr">
        <is>
          <t>SIMRISHAMN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44657</v>
      </c>
      <c r="E57" s="1" t="n">
        <v>46275</v>
      </c>
      <c r="F57" t="inlineStr">
        <is>
          <t>SKÅNE LÄN</t>
        </is>
      </c>
      <c r="G57" t="inlineStr">
        <is>
          <t>SIMRISHAMN</t>
        </is>
      </c>
      <c r="H57" t="inlineStr">
        <is>
          <t>Övriga Aktiebolag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18856-2024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45426</v>
      </c>
      <c r="E58" s="1" t="n">
        <v>46275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46275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46275</v>
      </c>
      <c r="F60" t="inlineStr">
        <is>
          <t>SKÅNE LÄN</t>
        </is>
      </c>
      <c r="G60" t="inlineStr">
        <is>
          <t>SIMRISHAMN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62413-2022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44923</v>
      </c>
      <c r="E61" s="1" t="n">
        <v>46275</v>
      </c>
      <c r="F61" t="inlineStr">
        <is>
          <t>SKÅNE LÄN</t>
        </is>
      </c>
      <c r="G61" t="inlineStr">
        <is>
          <t>SIMRISHAMN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46275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46275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45204</v>
      </c>
      <c r="E64" s="1" t="n">
        <v>46275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20950-2023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45061</v>
      </c>
      <c r="E65" s="1" t="n">
        <v>46275</v>
      </c>
      <c r="F65" t="inlineStr">
        <is>
          <t>SKÅNE LÄN</t>
        </is>
      </c>
      <c r="G65" t="inlineStr">
        <is>
          <t>SIMRISHAMN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46275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46275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46275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45162</v>
      </c>
      <c r="E69" s="1" t="n">
        <v>46275</v>
      </c>
      <c r="F69" t="inlineStr">
        <is>
          <t>SKÅNE LÄN</t>
        </is>
      </c>
      <c r="G69" t="inlineStr">
        <is>
          <t>SIMRISHAMN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45318</v>
      </c>
      <c r="E70" s="1" t="n">
        <v>46275</v>
      </c>
      <c r="F70" t="inlineStr">
        <is>
          <t>SKÅNE LÄN</t>
        </is>
      </c>
      <c r="G70" t="inlineStr">
        <is>
          <t>SIMRISHAMN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46275</v>
      </c>
      <c r="F71" t="inlineStr">
        <is>
          <t>SKÅNE LÄN</t>
        </is>
      </c>
      <c r="G71" t="inlineStr">
        <is>
          <t>SIMRISHAMN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45700</v>
      </c>
      <c r="E72" s="1" t="n">
        <v>46275</v>
      </c>
      <c r="F72" t="inlineStr">
        <is>
          <t>SKÅNE LÄN</t>
        </is>
      </c>
      <c r="G72" t="inlineStr">
        <is>
          <t>SIMRISHAMN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46275</v>
      </c>
      <c r="F73" t="inlineStr">
        <is>
          <t>SKÅNE LÄN</t>
        </is>
      </c>
      <c r="G73" t="inlineStr">
        <is>
          <t>SIMRISHAMN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46275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46275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46275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46275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46275</v>
      </c>
      <c r="F78" t="inlineStr">
        <is>
          <t>SKÅNE LÄN</t>
        </is>
      </c>
      <c r="G78" t="inlineStr">
        <is>
          <t>SIMRISHAMN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45652</v>
      </c>
      <c r="E79" s="1" t="n">
        <v>46275</v>
      </c>
      <c r="F79" t="inlineStr">
        <is>
          <t>SKÅNE LÄN</t>
        </is>
      </c>
      <c r="G79" t="inlineStr">
        <is>
          <t>SIMRISHAMN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45318</v>
      </c>
      <c r="E80" s="1" t="n">
        <v>46275</v>
      </c>
      <c r="F80" t="inlineStr">
        <is>
          <t>SKÅNE LÄN</t>
        </is>
      </c>
      <c r="G80" t="inlineStr">
        <is>
          <t>SIMRISHAMN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46275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46275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46275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46275</v>
      </c>
      <c r="F84" t="inlineStr">
        <is>
          <t>SKÅNE LÄN</t>
        </is>
      </c>
      <c r="G84" t="inlineStr">
        <is>
          <t>SIMRISHAMN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46275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46275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46275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46275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46275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46275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46275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46275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46275</v>
      </c>
      <c r="F93" t="inlineStr">
        <is>
          <t>SKÅNE LÄN</t>
        </is>
      </c>
      <c r="G93" t="inlineStr">
        <is>
          <t>SIMRISHAMN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46275</v>
      </c>
      <c r="F94" t="inlineStr">
        <is>
          <t>SKÅNE LÄN</t>
        </is>
      </c>
      <c r="G94" t="inlineStr">
        <is>
          <t>SIMRISHAMN</t>
        </is>
      </c>
      <c r="H94" t="inlineStr">
        <is>
          <t>Övriga Aktiebolag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46275</v>
      </c>
      <c r="F95" t="inlineStr">
        <is>
          <t>SKÅNE LÄN</t>
        </is>
      </c>
      <c r="G95" t="inlineStr">
        <is>
          <t>SIMRISHAMN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46275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46275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46275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46275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46275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46275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2026-09-10T02:09:25Z</dcterms:created>
  <dcterms:modified xmlns:dcterms="http://purl.org/dc/terms/" xmlns:xsi="http://www.w3.org/2001/XMLSchema-instance" xsi:type="dcterms:W3CDTF">2026-09-10T02:09:26Z</dcterms:modified>
</cp:coreProperties>
</file>