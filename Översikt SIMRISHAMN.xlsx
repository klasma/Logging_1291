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46273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46273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46273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46273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26510-2026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46273</v>
      </c>
      <c r="F13" t="inlineStr">
        <is>
          <t>SKÅNE LÄN</t>
        </is>
      </c>
      <c r="G13" t="inlineStr">
        <is>
          <t>SIMRISHAMN</t>
        </is>
      </c>
      <c r="I13" t="n">
        <v>6.2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HYPERLINK("https://klasma.github.io/Logging_1291/artfynd/A 26510-2026 artfynd.xlsx", "A 26510-2026")</f>
        <v/>
      </c>
      <c r="X13">
        <f>HYPERLINK("https://klasma.github.io/Logging_1291/kartor/A 26510-2026 karta.png", "A 26510-2026")</f>
        <v/>
      </c>
      <c r="Y13">
        <f>HYPERLINK("https://klasma.github.io/Logging_1291/kartor_geotiff/A 26510-2026 georefererad karta.tif", "A 26510-2026")</f>
        <v/>
      </c>
      <c r="AA13">
        <f>HYPERLINK("https://klasma.github.io/Logging_1291/klagomål/A 26510-2026 FSC-klagomål.docx", "A 26510-2026")</f>
        <v/>
      </c>
      <c r="AB13">
        <f>HYPERLINK("https://klasma.github.io/Logging_1291/klagomålsmail/A 26510-2026 FSC-klagomål mail.docx", "A 26510-2026")</f>
        <v/>
      </c>
      <c r="AC13">
        <f>HYPERLINK("https://klasma.github.io/Logging_1291/tillsyn/A 26510-2026 tillsynsbegäran.docx", "A 26510-2026")</f>
        <v/>
      </c>
      <c r="AD13">
        <f>HYPERLINK("https://klasma.github.io/Logging_1291/tillsynsmail/A 26510-2026 tillsynsbegäran mail.docx", "A 26510-2026")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46273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46273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34703-2026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46258</v>
      </c>
      <c r="E16" s="1" t="n">
        <v>46273</v>
      </c>
      <c r="F16" t="inlineStr">
        <is>
          <t>SKÅNE LÄN</t>
        </is>
      </c>
      <c r="G16" t="inlineStr">
        <is>
          <t>SIMRISHAMN</t>
        </is>
      </c>
      <c r="I16" t="n">
        <v>1.4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Gulsparv</t>
        </is>
      </c>
      <c r="W16">
        <f>HYPERLINK("https://klasma.github.io/Logging_1291/artfynd/A 34703-2026 artfynd.xlsx", "A 34703-2026")</f>
        <v/>
      </c>
      <c r="X16">
        <f>HYPERLINK("https://klasma.github.io/Logging_1291/kartor/A 34703-2026 karta.png", "A 34703-2026")</f>
        <v/>
      </c>
      <c r="Y16">
        <f>HYPERLINK("https://klasma.github.io/Logging_1291/kartor_geotiff/A 34703-2026 georefererad karta.tif", "A 34703-2026")</f>
        <v/>
      </c>
      <c r="AA16">
        <f>HYPERLINK("https://klasma.github.io/Logging_1291/klagomål/A 34703-2026 FSC-klagomål.docx", "A 34703-2026")</f>
        <v/>
      </c>
      <c r="AB16">
        <f>HYPERLINK("https://klasma.github.io/Logging_1291/klagomålsmail/A 34703-2026 FSC-klagomål mail.docx", "A 34703-2026")</f>
        <v/>
      </c>
      <c r="AC16">
        <f>HYPERLINK("https://klasma.github.io/Logging_1291/tillsyn/A 34703-2026 tillsynsbegäran.docx", "A 34703-2026")</f>
        <v/>
      </c>
      <c r="AD16">
        <f>HYPERLINK("https://klasma.github.io/Logging_1291/tillsynsmail/A 34703-2026 tillsynsbegäran mail.docx", "A 34703-2026")</f>
        <v/>
      </c>
      <c r="AE16">
        <f>HYPERLINK("https://klasma.github.io/Logging_1291/fåglar/A 34703-2026 prioriterade fågelarter.docx", "A 34703-2026")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46273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46273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46273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46273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46273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46273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46273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46273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46273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46273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46273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46273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46273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46273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46273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46273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46273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46273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46273</v>
      </c>
      <c r="F39" t="inlineStr">
        <is>
          <t>SKÅNE LÄN</t>
        </is>
      </c>
      <c r="G39" t="inlineStr">
        <is>
          <t>SIMRISHAMN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46273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46273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46273</v>
      </c>
      <c r="F42" t="inlineStr">
        <is>
          <t>SKÅNE LÄN</t>
        </is>
      </c>
      <c r="G42" t="inlineStr">
        <is>
          <t>SIMRISHAMN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45317</v>
      </c>
      <c r="E43" s="1" t="n">
        <v>46273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46273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38846-2024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46273</v>
      </c>
      <c r="F45" t="inlineStr">
        <is>
          <t>SKÅNE LÄN</t>
        </is>
      </c>
      <c r="G45" t="inlineStr">
        <is>
          <t>SIMRISHAMN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46273</v>
      </c>
      <c r="F46" t="inlineStr">
        <is>
          <t>SKÅNE LÄN</t>
        </is>
      </c>
      <c r="G46" t="inlineStr">
        <is>
          <t>SIMRISHAMN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45392</v>
      </c>
      <c r="E47" s="1" t="n">
        <v>46273</v>
      </c>
      <c r="F47" t="inlineStr">
        <is>
          <t>SKÅNE LÄN</t>
        </is>
      </c>
      <c r="G47" t="inlineStr">
        <is>
          <t>SIMRISHAMN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45392</v>
      </c>
      <c r="E48" s="1" t="n">
        <v>46273</v>
      </c>
      <c r="F48" t="inlineStr">
        <is>
          <t>SKÅNE LÄN</t>
        </is>
      </c>
      <c r="G48" t="inlineStr">
        <is>
          <t>SIMRISHAMN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46006</v>
      </c>
      <c r="E49" s="1" t="n">
        <v>46273</v>
      </c>
      <c r="F49" t="inlineStr">
        <is>
          <t>SKÅNE LÄN</t>
        </is>
      </c>
      <c r="G49" t="inlineStr">
        <is>
          <t>SIMRISHAMN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45875</v>
      </c>
      <c r="E50" s="1" t="n">
        <v>46273</v>
      </c>
      <c r="F50" t="inlineStr">
        <is>
          <t>SKÅNE LÄN</t>
        </is>
      </c>
      <c r="G50" t="inlineStr">
        <is>
          <t>SIMRISHAMN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45336</v>
      </c>
      <c r="E51" s="1" t="n">
        <v>46273</v>
      </c>
      <c r="F51" t="inlineStr">
        <is>
          <t>SKÅNE LÄN</t>
        </is>
      </c>
      <c r="G51" t="inlineStr">
        <is>
          <t>SIMRISHAMN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46273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45318</v>
      </c>
      <c r="E53" s="1" t="n">
        <v>46273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45318</v>
      </c>
      <c r="E54" s="1" t="n">
        <v>46273</v>
      </c>
      <c r="F54" t="inlineStr">
        <is>
          <t>SKÅNE LÄN</t>
        </is>
      </c>
      <c r="G54" t="inlineStr">
        <is>
          <t>SIMRISHAMN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45348</v>
      </c>
      <c r="E55" s="1" t="n">
        <v>46273</v>
      </c>
      <c r="F55" t="inlineStr">
        <is>
          <t>SKÅNE LÄN</t>
        </is>
      </c>
      <c r="G55" t="inlineStr">
        <is>
          <t>SIMRISHAMN</t>
        </is>
      </c>
      <c r="I55" t="n">
        <v>6.9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46273</v>
      </c>
      <c r="F56" t="inlineStr">
        <is>
          <t>SKÅNE LÄN</t>
        </is>
      </c>
      <c r="G56" t="inlineStr">
        <is>
          <t>SIMRISHAMN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46273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46273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45162</v>
      </c>
      <c r="E59" s="1" t="n">
        <v>46273</v>
      </c>
      <c r="F59" t="inlineStr">
        <is>
          <t>SKÅNE LÄN</t>
        </is>
      </c>
      <c r="G59" t="inlineStr">
        <is>
          <t>SIMRISHAMN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42374-2023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46273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46273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46125</v>
      </c>
      <c r="E62" s="1" t="n">
        <v>46273</v>
      </c>
      <c r="F62" t="inlineStr">
        <is>
          <t>SKÅNE LÄN</t>
        </is>
      </c>
      <c r="G62" t="inlineStr">
        <is>
          <t>SIMRISHAMN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46273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45334</v>
      </c>
      <c r="E64" s="1" t="n">
        <v>46273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45162</v>
      </c>
      <c r="E65" s="1" t="n">
        <v>46273</v>
      </c>
      <c r="F65" t="inlineStr">
        <is>
          <t>SKÅNE LÄN</t>
        </is>
      </c>
      <c r="G65" t="inlineStr">
        <is>
          <t>SIMRISHAMN</t>
        </is>
      </c>
      <c r="I65" t="n">
        <v>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26471-2023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46273</v>
      </c>
      <c r="F66" t="inlineStr">
        <is>
          <t>SKÅNE LÄN</t>
        </is>
      </c>
      <c r="G66" t="inlineStr">
        <is>
          <t>SIMRISHAMN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56764-2024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45628</v>
      </c>
      <c r="E67" s="1" t="n">
        <v>46273</v>
      </c>
      <c r="F67" t="inlineStr">
        <is>
          <t>SKÅNE LÄN</t>
        </is>
      </c>
      <c r="G67" t="inlineStr">
        <is>
          <t>SIMRISHAMN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45755</v>
      </c>
      <c r="E68" s="1" t="n">
        <v>46273</v>
      </c>
      <c r="F68" t="inlineStr">
        <is>
          <t>SKÅNE LÄN</t>
        </is>
      </c>
      <c r="G68" t="inlineStr">
        <is>
          <t>SIMRISHAMN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46273</v>
      </c>
      <c r="F69" t="inlineStr">
        <is>
          <t>SKÅNE LÄN</t>
        </is>
      </c>
      <c r="G69" t="inlineStr">
        <is>
          <t>SIMRISHAMN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46273</v>
      </c>
      <c r="F70" t="inlineStr">
        <is>
          <t>SKÅNE LÄN</t>
        </is>
      </c>
      <c r="G70" t="inlineStr">
        <is>
          <t>SIMRISHAMN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45318</v>
      </c>
      <c r="E71" s="1" t="n">
        <v>46273</v>
      </c>
      <c r="F71" t="inlineStr">
        <is>
          <t>SKÅNE LÄN</t>
        </is>
      </c>
      <c r="G71" t="inlineStr">
        <is>
          <t>SIMRISHAMN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46273</v>
      </c>
      <c r="F72" t="inlineStr">
        <is>
          <t>SKÅNE LÄN</t>
        </is>
      </c>
      <c r="G72" t="inlineStr">
        <is>
          <t>SIMRISHAMN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46273</v>
      </c>
      <c r="F73" t="inlineStr">
        <is>
          <t>SKÅNE LÄN</t>
        </is>
      </c>
      <c r="G73" t="inlineStr">
        <is>
          <t>SIMRISHAMN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46273</v>
      </c>
      <c r="F74" t="inlineStr">
        <is>
          <t>SKÅNE LÄN</t>
        </is>
      </c>
      <c r="G74" t="inlineStr">
        <is>
          <t>SIMRISHAMN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46273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46273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45652</v>
      </c>
      <c r="E77" s="1" t="n">
        <v>46273</v>
      </c>
      <c r="F77" t="inlineStr">
        <is>
          <t>SKÅNE LÄN</t>
        </is>
      </c>
      <c r="G77" t="inlineStr">
        <is>
          <t>SIMRISHAMN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46273</v>
      </c>
      <c r="F78" t="inlineStr">
        <is>
          <t>SKÅNE LÄN</t>
        </is>
      </c>
      <c r="G78" t="inlineStr">
        <is>
          <t>SIMRISHAMN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35899-2026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46266</v>
      </c>
      <c r="E79" s="1" t="n">
        <v>46273</v>
      </c>
      <c r="F79" t="inlineStr">
        <is>
          <t>SKÅNE LÄN</t>
        </is>
      </c>
      <c r="G79" t="inlineStr">
        <is>
          <t>SIMRISHAMN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56820-2024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45628</v>
      </c>
      <c r="E80" s="1" t="n">
        <v>46273</v>
      </c>
      <c r="F80" t="inlineStr">
        <is>
          <t>SKÅNE LÄN</t>
        </is>
      </c>
      <c r="G80" t="inlineStr">
        <is>
          <t>SIMRISHAMN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46273</v>
      </c>
      <c r="F81" t="inlineStr">
        <is>
          <t>SKÅNE LÄN</t>
        </is>
      </c>
      <c r="G81" t="inlineStr">
        <is>
          <t>SIMRISHAMN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44922</v>
      </c>
      <c r="E82" s="1" t="n">
        <v>46273</v>
      </c>
      <c r="F82" t="inlineStr">
        <is>
          <t>SKÅNE LÄN</t>
        </is>
      </c>
      <c r="G82" t="inlineStr">
        <is>
          <t>SIMRISHAMN</t>
        </is>
      </c>
      <c r="H82" t="inlineStr">
        <is>
          <t>Övriga Aktiebolag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46273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46273</v>
      </c>
      <c r="F84" t="inlineStr">
        <is>
          <t>SKÅNE LÄN</t>
        </is>
      </c>
      <c r="G84" t="inlineStr">
        <is>
          <t>SIMRISHAMN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46273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46273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46273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46273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46273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46273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46273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46273</v>
      </c>
      <c r="F92" t="inlineStr">
        <is>
          <t>SKÅNE LÄN</t>
        </is>
      </c>
      <c r="G92" t="inlineStr">
        <is>
          <t>SIMRISHAMN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46273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46273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46273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46273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46273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46273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46273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2026-09-08T02:05:59Z</dcterms:created>
  <dcterms:modified xmlns:dcterms="http://purl.org/dc/terms/" xmlns:xsi="http://www.w3.org/2001/XMLSchema-instance" xsi:type="dcterms:W3CDTF">2026-09-08T02:05:59Z</dcterms:modified>
</cp:coreProperties>
</file>