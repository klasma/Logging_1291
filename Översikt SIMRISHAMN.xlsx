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t="n">
        <v>5</v>
      </c>
      <c r="V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46227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Lövgroda
Större vattensalamander</t>
        </is>
      </c>
      <c r="W8">
        <f>HYPERLINK("https://klasma.github.io/Logging_1291/artfynd/A 39121-2021 artfynd.xlsx", "A 39121-2021")</f>
        <v/>
      </c>
      <c r="X8">
        <f>HYPERLINK("https://klasma.github.io/Logging_1291/kartor/A 39121-2021 karta.png", "A 39121-2021")</f>
        <v/>
      </c>
      <c r="Y8">
        <f>HYPERLINK("https://klasma.github.io/Logging_1291/kartor_geotiff/A 39121-2021 georefererad karta.tif", "A 39121-2021")</f>
        <v/>
      </c>
      <c r="AA8">
        <f>HYPERLINK("https://klasma.github.io/Logging_1291/klagomål/A 39121-2021 FSC-klagomål.docx", "A 39121-2021")</f>
        <v/>
      </c>
      <c r="AB8">
        <f>HYPERLINK("https://klasma.github.io/Logging_1291/klagomålsmail/A 39121-2021 FSC-klagomål mail.docx", "A 39121-2021")</f>
        <v/>
      </c>
      <c r="AC8">
        <f>HYPERLINK("https://klasma.github.io/Logging_1291/tillsyn/A 39121-2021 tillsynsbegäran.docx", "A 39121-2021")</f>
        <v/>
      </c>
      <c r="AD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46227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46227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31291-2026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46218</v>
      </c>
      <c r="E11" s="1" t="n">
        <v>46227</v>
      </c>
      <c r="F11" t="inlineStr">
        <is>
          <t>SKÅNE LÄN</t>
        </is>
      </c>
      <c r="G11" t="inlineStr">
        <is>
          <t>SIMRISHAMN</t>
        </is>
      </c>
      <c r="I11" t="n">
        <v>3.3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0</v>
      </c>
      <c r="V11" s="2" t="inlineStr">
        <is>
          <t>Sandödla
Hasselmus</t>
        </is>
      </c>
      <c r="W11">
        <f>HYPERLINK("https://klasma.github.io/Logging_1291/artfynd/A 31291-2026 artfynd.xlsx", "A 31291-2026")</f>
        <v/>
      </c>
      <c r="X11">
        <f>HYPERLINK("https://klasma.github.io/Logging_1291/kartor/A 31291-2026 karta.png", "A 31291-2026")</f>
        <v/>
      </c>
      <c r="Y11">
        <f>HYPERLINK("https://klasma.github.io/Logging_1291/kartor_geotiff/A 31291-2026 georefererad karta.tif", "A 31291-2026")</f>
        <v/>
      </c>
      <c r="AA11">
        <f>HYPERLINK("https://klasma.github.io/Logging_1291/klagomål/A 31291-2026 FSC-klagomål.docx", "A 31291-2026")</f>
        <v/>
      </c>
      <c r="AB11">
        <f>HYPERLINK("https://klasma.github.io/Logging_1291/klagomålsmail/A 31291-2026 FSC-klagomål mail.docx", "A 31291-2026")</f>
        <v/>
      </c>
      <c r="AC11">
        <f>HYPERLINK("https://klasma.github.io/Logging_1291/tillsyn/A 31291-2026 tillsynsbegäran.docx", "A 31291-2026")</f>
        <v/>
      </c>
      <c r="AD11">
        <f>HYPERLINK("https://klasma.github.io/Logging_1291/tillsynsmail/A 31291-2026 tillsynsbegäran mail.docx", "A 31291-2026")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46227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25834-2022 artfynd.xlsx", "A 25834-2022")</f>
        <v/>
      </c>
      <c r="X12">
        <f>HYPERLINK("https://klasma.github.io/Logging_1291/kartor/A 25834-2022 karta.png", "A 25834-2022")</f>
        <v/>
      </c>
      <c r="Y12">
        <f>HYPERLINK("https://klasma.github.io/Logging_1291/kartor_geotiff/A 25834-2022 georefererad karta.tif", "A 25834-2022")</f>
        <v/>
      </c>
      <c r="AA12">
        <f>HYPERLINK("https://klasma.github.io/Logging_1291/klagomål/A 25834-2022 FSC-klagomål.docx", "A 25834-2022")</f>
        <v/>
      </c>
      <c r="AB12">
        <f>HYPERLINK("https://klasma.github.io/Logging_1291/klagomålsmail/A 25834-2022 FSC-klagomål mail.docx", "A 25834-2022")</f>
        <v/>
      </c>
      <c r="AC12">
        <f>HYPERLINK("https://klasma.github.io/Logging_1291/tillsyn/A 25834-2022 tillsynsbegäran.docx", "A 25834-2022")</f>
        <v/>
      </c>
      <c r="AD12">
        <f>HYPERLINK("https://klasma.github.io/Logging_1291/tillsynsmail/A 25834-2022 tillsynsbegäran mail.docx", "A 25834-2022")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46227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46227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Småvänderot</t>
        </is>
      </c>
      <c r="W14">
        <f>HYPERLINK("https://klasma.github.io/Logging_1291/artfynd/A 7082-2024 artfynd.xlsx", "A 7082-2024")</f>
        <v/>
      </c>
      <c r="X14">
        <f>HYPERLINK("https://klasma.github.io/Logging_1291/kartor/A 7082-2024 karta.png", "A 7082-2024")</f>
        <v/>
      </c>
      <c r="Y14">
        <f>HYPERLINK("https://klasma.github.io/Logging_1291/kartor_geotiff/A 7082-2024 georefererad karta.tif", "A 7082-2024")</f>
        <v/>
      </c>
      <c r="AA14">
        <f>HYPERLINK("https://klasma.github.io/Logging_1291/klagomål/A 7082-2024 FSC-klagomål.docx", "A 7082-2024")</f>
        <v/>
      </c>
      <c r="AB14">
        <f>HYPERLINK("https://klasma.github.io/Logging_1291/klagomålsmail/A 7082-2024 FSC-klagomål mail.docx", "A 7082-2024")</f>
        <v/>
      </c>
      <c r="AC14">
        <f>HYPERLINK("https://klasma.github.io/Logging_1291/tillsyn/A 7082-2024 tillsynsbegäran.docx", "A 7082-2024")</f>
        <v/>
      </c>
      <c r="AD14">
        <f>HYPERLINK("https://klasma.github.io/Logging_1291/tillsynsmail/A 7082-2024 tillsynsbegäran mail.docx", "A 7082-2024")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46227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46227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46227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46227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46227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50134-2024 artfynd.xlsx", "A 50134-2024")</f>
        <v/>
      </c>
      <c r="X19">
        <f>HYPERLINK("https://klasma.github.io/Logging_1291/kartor/A 50134-2024 karta.png", "A 50134-2024")</f>
        <v/>
      </c>
      <c r="Y19">
        <f>HYPERLINK("https://klasma.github.io/Logging_1291/kartor_geotiff/A 50134-2024 georefererad karta.tif", "A 50134-2024")</f>
        <v/>
      </c>
      <c r="AA19">
        <f>HYPERLINK("https://klasma.github.io/Logging_1291/klagomål/A 50134-2024 FSC-klagomål.docx", "A 50134-2024")</f>
        <v/>
      </c>
      <c r="AB19">
        <f>HYPERLINK("https://klasma.github.io/Logging_1291/klagomålsmail/A 50134-2024 FSC-klagomål mail.docx", "A 50134-2024")</f>
        <v/>
      </c>
      <c r="AC19">
        <f>HYPERLINK("https://klasma.github.io/Logging_1291/tillsyn/A 50134-2024 tillsynsbegäran.docx", "A 50134-2024")</f>
        <v/>
      </c>
      <c r="AD19">
        <f>HYPERLINK("https://klasma.github.io/Logging_1291/tillsynsmail/A 50134-2024 tillsynsbegäran mail.docx", "A 50134-2024")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46227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46227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46227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46227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46227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46227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46227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46227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46227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46227</v>
      </c>
      <c r="F29" t="inlineStr">
        <is>
          <t>SKÅNE LÄN</t>
        </is>
      </c>
      <c r="G29" t="inlineStr">
        <is>
          <t>SIMRISHAMN</t>
        </is>
      </c>
      <c r="I29" t="n">
        <v>6.7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17110-2025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45755</v>
      </c>
      <c r="E30" s="1" t="n">
        <v>46227</v>
      </c>
      <c r="F30" t="inlineStr">
        <is>
          <t>SKÅNE LÄN</t>
        </is>
      </c>
      <c r="G30" t="inlineStr">
        <is>
          <t>SIMRISHAMN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45204</v>
      </c>
      <c r="E31" s="1" t="n">
        <v>46227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46227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46227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46227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40584-2024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45555</v>
      </c>
      <c r="E35" s="1" t="n">
        <v>46227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46227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30911-2024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45498</v>
      </c>
      <c r="E37" s="1" t="n">
        <v>46227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46227</v>
      </c>
      <c r="F38" t="inlineStr">
        <is>
          <t>SKÅNE LÄN</t>
        </is>
      </c>
      <c r="G38" t="inlineStr">
        <is>
          <t>SIMRISHAMN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55504-2025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46227</v>
      </c>
      <c r="F39" t="inlineStr">
        <is>
          <t>SKÅNE LÄN</t>
        </is>
      </c>
      <c r="G39" t="inlineStr">
        <is>
          <t>SIMRISHAMN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45343</v>
      </c>
      <c r="E40" s="1" t="n">
        <v>46227</v>
      </c>
      <c r="F40" t="inlineStr">
        <is>
          <t>SKÅNE LÄN</t>
        </is>
      </c>
      <c r="G40" t="inlineStr">
        <is>
          <t>SIMRISHAMN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60059-2025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45993</v>
      </c>
      <c r="E41" s="1" t="n">
        <v>46227</v>
      </c>
      <c r="F41" t="inlineStr">
        <is>
          <t>SKÅNE LÄN</t>
        </is>
      </c>
      <c r="G41" t="inlineStr">
        <is>
          <t>SIMRISHAMN</t>
        </is>
      </c>
      <c r="H41" t="inlineStr">
        <is>
          <t>Övriga Aktiebolag</t>
        </is>
      </c>
      <c r="I41" t="n">
        <v>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44657</v>
      </c>
      <c r="E42" s="1" t="n">
        <v>46227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45426</v>
      </c>
      <c r="E43" s="1" t="n">
        <v>46227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46227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46227</v>
      </c>
      <c r="F45" t="inlineStr">
        <is>
          <t>SKÅNE LÄN</t>
        </is>
      </c>
      <c r="G45" t="inlineStr">
        <is>
          <t>SIMRISHAMN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45875</v>
      </c>
      <c r="E46" s="1" t="n">
        <v>46227</v>
      </c>
      <c r="F46" t="inlineStr">
        <is>
          <t>SKÅNE LÄN</t>
        </is>
      </c>
      <c r="G46" t="inlineStr">
        <is>
          <t>SIMRISHAMN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46227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46227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46227</v>
      </c>
      <c r="F49" t="inlineStr">
        <is>
          <t>SKÅNE LÄN</t>
        </is>
      </c>
      <c r="G49" t="inlineStr">
        <is>
          <t>SIMRISHAMN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45317</v>
      </c>
      <c r="E50" s="1" t="n">
        <v>46227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46035</v>
      </c>
      <c r="E51" s="1" t="n">
        <v>46227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46227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45429</v>
      </c>
      <c r="E53" s="1" t="n">
        <v>46227</v>
      </c>
      <c r="F53" t="inlineStr">
        <is>
          <t>SKÅNE LÄN</t>
        </is>
      </c>
      <c r="G53" t="inlineStr">
        <is>
          <t>SIMRISHAMN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46227</v>
      </c>
      <c r="F54" t="inlineStr">
        <is>
          <t>SKÅNE LÄN</t>
        </is>
      </c>
      <c r="G54" t="inlineStr">
        <is>
          <t>SIMRISHAMN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46227</v>
      </c>
      <c r="F55" t="inlineStr">
        <is>
          <t>SKÅNE LÄN</t>
        </is>
      </c>
      <c r="G55" t="inlineStr">
        <is>
          <t>SIMRISHAMN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46227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46227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46227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45348</v>
      </c>
      <c r="E59" s="1" t="n">
        <v>46227</v>
      </c>
      <c r="F59" t="inlineStr">
        <is>
          <t>SKÅNE LÄN</t>
        </is>
      </c>
      <c r="G59" t="inlineStr">
        <is>
          <t>SIMRISHAMN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46227</v>
      </c>
      <c r="F60" t="inlineStr">
        <is>
          <t>SKÅNE LÄN</t>
        </is>
      </c>
      <c r="G60" t="inlineStr">
        <is>
          <t>SIMRISHAMN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46227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46227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46227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46227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46227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46227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46227</v>
      </c>
      <c r="F67" t="inlineStr">
        <is>
          <t>SKÅNE LÄN</t>
        </is>
      </c>
      <c r="G67" t="inlineStr">
        <is>
          <t>SIMRISHAMN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46227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45162</v>
      </c>
      <c r="E69" s="1" t="n">
        <v>46227</v>
      </c>
      <c r="F69" t="inlineStr">
        <is>
          <t>SKÅNE LÄN</t>
        </is>
      </c>
      <c r="G69" t="inlineStr">
        <is>
          <t>SIMRISHAMN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46227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45628</v>
      </c>
      <c r="E71" s="1" t="n">
        <v>46227</v>
      </c>
      <c r="F71" t="inlineStr">
        <is>
          <t>SKÅNE LÄN</t>
        </is>
      </c>
      <c r="G71" t="inlineStr">
        <is>
          <t>SIMRISHAMN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45755</v>
      </c>
      <c r="E72" s="1" t="n">
        <v>46227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46227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46227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46227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46227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46227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46227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46227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45652</v>
      </c>
      <c r="E80" s="1" t="n">
        <v>46227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46227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46227</v>
      </c>
      <c r="F82" t="inlineStr">
        <is>
          <t>SKÅNE LÄN</t>
        </is>
      </c>
      <c r="G82" t="inlineStr">
        <is>
          <t>SIMRISHAMN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46227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46227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46227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46006</v>
      </c>
      <c r="E86" s="1" t="n">
        <v>46227</v>
      </c>
      <c r="F86" t="inlineStr">
        <is>
          <t>SKÅNE LÄN</t>
        </is>
      </c>
      <c r="G86" t="inlineStr">
        <is>
          <t>SIMRISHAMN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46227</v>
      </c>
      <c r="F87" t="inlineStr">
        <is>
          <t>SKÅNE LÄN</t>
        </is>
      </c>
      <c r="G87" t="inlineStr">
        <is>
          <t>SIMRISHAMN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46227</v>
      </c>
      <c r="F88" t="inlineStr">
        <is>
          <t>SKÅNE LÄN</t>
        </is>
      </c>
      <c r="G88" t="inlineStr">
        <is>
          <t>SIMRISHAMN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45434</v>
      </c>
      <c r="E89" s="1" t="n">
        <v>46227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46227</v>
      </c>
      <c r="F90" t="inlineStr">
        <is>
          <t>SKÅNE LÄN</t>
        </is>
      </c>
      <c r="G90" t="inlineStr">
        <is>
          <t>SIMRISHAMN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44943</v>
      </c>
      <c r="E91" s="1" t="n">
        <v>46227</v>
      </c>
      <c r="F91" t="inlineStr">
        <is>
          <t>SKÅNE LÄN</t>
        </is>
      </c>
      <c r="G91" t="inlineStr">
        <is>
          <t>SIMRISHAMN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46227</v>
      </c>
      <c r="F92" t="inlineStr">
        <is>
          <t>SKÅNE LÄN</t>
        </is>
      </c>
      <c r="G92" t="inlineStr">
        <is>
          <t>SIMRISHAMN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45572</v>
      </c>
      <c r="E93" s="1" t="n">
        <v>46227</v>
      </c>
      <c r="F93" t="inlineStr">
        <is>
          <t>SKÅNE LÄN</t>
        </is>
      </c>
      <c r="G93" t="inlineStr">
        <is>
          <t>SIMRISHAMN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46227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46227</v>
      </c>
      <c r="F95" t="inlineStr">
        <is>
          <t>SKÅNE LÄN</t>
        </is>
      </c>
      <c r="G95" t="inlineStr">
        <is>
          <t>SIMRISHAMN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46227</v>
      </c>
      <c r="F96" t="inlineStr">
        <is>
          <t>SKÅNE LÄN</t>
        </is>
      </c>
      <c r="G96" t="inlineStr">
        <is>
          <t>SIMRISHAMN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46227</v>
      </c>
      <c r="F97" t="inlineStr">
        <is>
          <t>SKÅNE LÄN</t>
        </is>
      </c>
      <c r="G97" t="inlineStr">
        <is>
          <t>SIMRISHAMN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45392</v>
      </c>
      <c r="E98" s="1" t="n">
        <v>46227</v>
      </c>
      <c r="F98" t="inlineStr">
        <is>
          <t>SKÅNE LÄN</t>
        </is>
      </c>
      <c r="G98" t="inlineStr">
        <is>
          <t>SIMRISHAMN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46227</v>
      </c>
      <c r="F99" t="inlineStr">
        <is>
          <t>SKÅNE LÄN</t>
        </is>
      </c>
      <c r="G99" t="inlineStr">
        <is>
          <t>SIMRISHAMN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46227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46227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