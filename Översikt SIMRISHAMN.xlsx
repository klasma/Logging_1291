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46194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  <c r="Z2">
        <f>HYPERLINK("https://klasma.github.io/Logging_1291/fåglar/A 19439-2024 prioriterade fågelarter.docx",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46194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46194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46194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46194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46194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46194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46194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46194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22194-2023</t>
        </is>
      </c>
      <c r="B12" s="1" t="n">
        <v>45069</v>
      </c>
      <c r="C12" s="1" t="n">
        <v>46194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11.4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HYPERLINK("https://klasma.github.io/Logging_1291/artfynd/A 22194-2023 artfynd.xlsx", "A 22194-2023")</f>
        <v/>
      </c>
      <c r="T12">
        <f>HYPERLINK("https://klasma.github.io/Logging_1291/kartor/A 22194-2023 karta.png", "A 22194-2023")</f>
        <v/>
      </c>
      <c r="V12">
        <f>HYPERLINK("https://klasma.github.io/Logging_1291/klagomål/A 22194-2023 FSC-klagomål.docx", "A 22194-2023")</f>
        <v/>
      </c>
      <c r="W12">
        <f>HYPERLINK("https://klasma.github.io/Logging_1291/klagomålsmail/A 22194-2023 FSC-klagomål mail.docx", "A 22194-2023")</f>
        <v/>
      </c>
      <c r="X12">
        <f>HYPERLINK("https://klasma.github.io/Logging_1291/tillsyn/A 22194-2023 tillsynsbegäran.docx", "A 22194-2023")</f>
        <v/>
      </c>
      <c r="Y12">
        <f>HYPERLINK("https://klasma.github.io/Logging_1291/tillsynsmail/A 22194-2023 tillsynsbegäran mail.docx", "A 22194-2023")</f>
        <v/>
      </c>
    </row>
    <row r="13" ht="15" customHeight="1">
      <c r="A13" t="inlineStr">
        <is>
          <t>A 16258-2024</t>
        </is>
      </c>
      <c r="B13" s="1" t="n">
        <v>45407</v>
      </c>
      <c r="C13" s="1" t="n">
        <v>46194</v>
      </c>
      <c r="D13" t="inlineStr">
        <is>
          <t>SKÅNE LÄN</t>
        </is>
      </c>
      <c r="E13" t="inlineStr">
        <is>
          <t>SIMRISHAMN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16258-2024 artfynd.xlsx", "A 16258-2024")</f>
        <v/>
      </c>
      <c r="T13">
        <f>HYPERLINK("https://klasma.github.io/Logging_1291/kartor/A 16258-2024 karta.png", "A 16258-2024")</f>
        <v/>
      </c>
      <c r="V13">
        <f>HYPERLINK("https://klasma.github.io/Logging_1291/klagomål/A 16258-2024 FSC-klagomål.docx", "A 16258-2024")</f>
        <v/>
      </c>
      <c r="W13">
        <f>HYPERLINK("https://klasma.github.io/Logging_1291/klagomålsmail/A 16258-2024 FSC-klagomål mail.docx", "A 16258-2024")</f>
        <v/>
      </c>
      <c r="X13">
        <f>HYPERLINK("https://klasma.github.io/Logging_1291/tillsyn/A 16258-2024 tillsynsbegäran.docx", "A 16258-2024")</f>
        <v/>
      </c>
      <c r="Y13">
        <f>HYPERLINK("https://klasma.github.io/Logging_1291/tillsynsmail/A 16258-2024 tillsynsbegäran mail.docx", "A 16258-2024")</f>
        <v/>
      </c>
    </row>
    <row r="14" ht="15" customHeight="1">
      <c r="A14" t="inlineStr">
        <is>
          <t>A 26510-2026</t>
        </is>
      </c>
      <c r="B14" s="1" t="n">
        <v>46183</v>
      </c>
      <c r="C14" s="1" t="n">
        <v>46194</v>
      </c>
      <c r="D14" t="inlineStr">
        <is>
          <t>SKÅNE LÄN</t>
        </is>
      </c>
      <c r="E14" t="inlineStr">
        <is>
          <t>SIMRISHAMN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HYPERLINK("https://klasma.github.io/Logging_1291/artfynd/A 26510-2026 artfynd.xlsx", "A 26510-2026")</f>
        <v/>
      </c>
      <c r="T14">
        <f>HYPERLINK("https://klasma.github.io/Logging_1291/kartor/A 26510-2026 karta.png", "A 26510-2026")</f>
        <v/>
      </c>
      <c r="V14">
        <f>HYPERLINK("https://klasma.github.io/Logging_1291/klagomål/A 26510-2026 FSC-klagomål.docx", "A 26510-2026")</f>
        <v/>
      </c>
      <c r="W14">
        <f>HYPERLINK("https://klasma.github.io/Logging_1291/klagomålsmail/A 26510-2026 FSC-klagomål mail.docx", "A 26510-2026")</f>
        <v/>
      </c>
      <c r="X14">
        <f>HYPERLINK("https://klasma.github.io/Logging_1291/tillsyn/A 26510-2026 tillsynsbegäran.docx", "A 26510-2026")</f>
        <v/>
      </c>
      <c r="Y14">
        <f>HYPERLINK("https://klasma.github.io/Logging_1291/tillsynsmail/A 26510-2026 tillsynsbegäran mail.docx", "A 26510-2026")</f>
        <v/>
      </c>
    </row>
    <row r="15" ht="15" customHeight="1">
      <c r="A15" t="inlineStr">
        <is>
          <t>A 7082-2024</t>
        </is>
      </c>
      <c r="B15" s="1" t="n">
        <v>45343</v>
      </c>
      <c r="C15" s="1" t="n">
        <v>46194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22.7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HYPERLINK("https://klasma.github.io/Logging_1291/artfynd/A 7082-2024 artfynd.xlsx", "A 7082-2024")</f>
        <v/>
      </c>
      <c r="T15">
        <f>HYPERLINK("https://klasma.github.io/Logging_1291/kartor/A 7082-2024 karta.png", "A 7082-2024")</f>
        <v/>
      </c>
      <c r="V15">
        <f>HYPERLINK("https://klasma.github.io/Logging_1291/klagomål/A 7082-2024 FSC-klagomål.docx", "A 7082-2024")</f>
        <v/>
      </c>
      <c r="W15">
        <f>HYPERLINK("https://klasma.github.io/Logging_1291/klagomålsmail/A 7082-2024 FSC-klagomål mail.docx", "A 7082-2024")</f>
        <v/>
      </c>
      <c r="X15">
        <f>HYPERLINK("https://klasma.github.io/Logging_1291/tillsyn/A 7082-2024 tillsynsbegäran.docx", "A 7082-2024")</f>
        <v/>
      </c>
      <c r="Y15">
        <f>HYPERLINK("https://klasma.github.io/Logging_1291/tillsynsmail/A 7082-2024 tillsynsbegäran mail.docx", "A 7082-2024")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46194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20090-2024</t>
        </is>
      </c>
      <c r="B17" s="1" t="n">
        <v>45434</v>
      </c>
      <c r="C17" s="1" t="n">
        <v>46194</v>
      </c>
      <c r="D17" t="inlineStr">
        <is>
          <t>SKÅNE LÄN</t>
        </is>
      </c>
      <c r="E17" t="inlineStr">
        <is>
          <t>SIMRISHAMN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20090-2024 artfynd.xlsx", "A 20090-2024")</f>
        <v/>
      </c>
      <c r="T17">
        <f>HYPERLINK("https://klasma.github.io/Logging_1291/kartor/A 20090-2024 karta.png", "A 20090-2024")</f>
        <v/>
      </c>
      <c r="V17">
        <f>HYPERLINK("https://klasma.github.io/Logging_1291/klagomål/A 20090-2024 FSC-klagomål.docx", "A 20090-2024")</f>
        <v/>
      </c>
      <c r="W17">
        <f>HYPERLINK("https://klasma.github.io/Logging_1291/klagomålsmail/A 20090-2024 FSC-klagomål mail.docx", "A 20090-2024")</f>
        <v/>
      </c>
      <c r="X17">
        <f>HYPERLINK("https://klasma.github.io/Logging_1291/tillsyn/A 20090-2024 tillsynsbegäran.docx", "A 20090-2024")</f>
        <v/>
      </c>
      <c r="Y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s="1" t="n">
        <v>45600</v>
      </c>
      <c r="C18" s="1" t="n">
        <v>46194</v>
      </c>
      <c r="D18" t="inlineStr">
        <is>
          <t>SKÅNE LÄN</t>
        </is>
      </c>
      <c r="E18" t="inlineStr">
        <is>
          <t>SIMRISHAMN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50134-2024 artfynd.xlsx", "A 50134-2024")</f>
        <v/>
      </c>
      <c r="T18">
        <f>HYPERLINK("https://klasma.github.io/Logging_1291/kartor/A 50134-2024 karta.png", "A 50134-2024")</f>
        <v/>
      </c>
      <c r="V18">
        <f>HYPERLINK("https://klasma.github.io/Logging_1291/klagomål/A 50134-2024 FSC-klagomål.docx", "A 50134-2024")</f>
        <v/>
      </c>
      <c r="W18">
        <f>HYPERLINK("https://klasma.github.io/Logging_1291/klagomålsmail/A 50134-2024 FSC-klagomål mail.docx", "A 50134-2024")</f>
        <v/>
      </c>
      <c r="X18">
        <f>HYPERLINK("https://klasma.github.io/Logging_1291/tillsyn/A 50134-2024 tillsynsbegäran.docx", "A 50134-2024")</f>
        <v/>
      </c>
      <c r="Y18">
        <f>HYPERLINK("https://klasma.github.io/Logging_1291/tillsynsmail/A 50134-2024 tillsynsbegäran mail.docx", "A 50134-2024")</f>
        <v/>
      </c>
    </row>
    <row r="19" ht="15" customHeight="1">
      <c r="A19" t="inlineStr">
        <is>
          <t>A 17038-2026</t>
        </is>
      </c>
      <c r="B19" s="1" t="n">
        <v>46114</v>
      </c>
      <c r="C19" s="1" t="n">
        <v>46194</v>
      </c>
      <c r="D19" t="inlineStr">
        <is>
          <t>SKÅNE LÄN</t>
        </is>
      </c>
      <c r="E19" t="inlineStr">
        <is>
          <t>SIMRISHAMN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17038-2026 artfynd.xlsx", "A 17038-2026")</f>
        <v/>
      </c>
      <c r="T19">
        <f>HYPERLINK("https://klasma.github.io/Logging_1291/kartor/A 17038-2026 karta.png", "A 17038-2026")</f>
        <v/>
      </c>
      <c r="V19">
        <f>HYPERLINK("https://klasma.github.io/Logging_1291/klagomål/A 17038-2026 FSC-klagomål.docx", "A 17038-2026")</f>
        <v/>
      </c>
      <c r="W19">
        <f>HYPERLINK("https://klasma.github.io/Logging_1291/klagomålsmail/A 17038-2026 FSC-klagomål mail.docx", "A 17038-2026")</f>
        <v/>
      </c>
      <c r="X19">
        <f>HYPERLINK("https://klasma.github.io/Logging_1291/tillsyn/A 17038-2026 tillsynsbegäran.docx", "A 17038-2026")</f>
        <v/>
      </c>
      <c r="Y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s="1" t="n">
        <v>46114</v>
      </c>
      <c r="C20" s="1" t="n">
        <v>46194</v>
      </c>
      <c r="D20" t="inlineStr">
        <is>
          <t>SKÅNE LÄN</t>
        </is>
      </c>
      <c r="E20" t="inlineStr">
        <is>
          <t>SIMRISHAMN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17022-2026 artfynd.xlsx", "A 17022-2026")</f>
        <v/>
      </c>
      <c r="T20">
        <f>HYPERLINK("https://klasma.github.io/Logging_1291/kartor/A 17022-2026 karta.png", "A 17022-2026")</f>
        <v/>
      </c>
      <c r="V20">
        <f>HYPERLINK("https://klasma.github.io/Logging_1291/klagomål/A 17022-2026 FSC-klagomål.docx", "A 17022-2026")</f>
        <v/>
      </c>
      <c r="W20">
        <f>HYPERLINK("https://klasma.github.io/Logging_1291/klagomålsmail/A 17022-2026 FSC-klagomål mail.docx", "A 17022-2026")</f>
        <v/>
      </c>
      <c r="X20">
        <f>HYPERLINK("https://klasma.github.io/Logging_1291/tillsyn/A 17022-2026 tillsynsbegäran.docx", "A 17022-2026")</f>
        <v/>
      </c>
      <c r="Y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s="1" t="n">
        <v>46125</v>
      </c>
      <c r="C21" s="1" t="n">
        <v>46194</v>
      </c>
      <c r="D21" t="inlineStr">
        <is>
          <t>SKÅNE LÄN</t>
        </is>
      </c>
      <c r="E21" t="inlineStr">
        <is>
          <t>SIMRISHAMN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18002-2026 artfynd.xlsx", "A 18002-2026")</f>
        <v/>
      </c>
      <c r="T21">
        <f>HYPERLINK("https://klasma.github.io/Logging_1291/kartor/A 18002-2026 karta.png", "A 18002-2026")</f>
        <v/>
      </c>
      <c r="V21">
        <f>HYPERLINK("https://klasma.github.io/Logging_1291/klagomål/A 18002-2026 FSC-klagomål.docx", "A 18002-2026")</f>
        <v/>
      </c>
      <c r="W21">
        <f>HYPERLINK("https://klasma.github.io/Logging_1291/klagomålsmail/A 18002-2026 FSC-klagomål mail.docx", "A 18002-2026")</f>
        <v/>
      </c>
      <c r="X21">
        <f>HYPERLINK("https://klasma.github.io/Logging_1291/tillsyn/A 18002-2026 tillsynsbegäran.docx", "A 18002-2026")</f>
        <v/>
      </c>
      <c r="Y21">
        <f>HYPERLINK("https://klasma.github.io/Logging_1291/tillsynsmail/A 18002-2026 tillsynsbegäran mail.docx", "A 18002-2026")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46194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</v>
      </c>
      <c r="C23" s="1" t="n">
        <v>46194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46194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</v>
      </c>
      <c r="C25" s="1" t="n">
        <v>46194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46194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46194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20096-2024</t>
        </is>
      </c>
      <c r="B28" s="1" t="n">
        <v>45434</v>
      </c>
      <c r="C28" s="1" t="n">
        <v>46194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3604-2024</t>
        </is>
      </c>
      <c r="B29" s="1" t="n">
        <v>45320</v>
      </c>
      <c r="C29" s="1" t="n">
        <v>46194</v>
      </c>
      <c r="D29" t="inlineStr">
        <is>
          <t>SKÅNE LÄN</t>
        </is>
      </c>
      <c r="E29" t="inlineStr">
        <is>
          <t>SIMRISHAMN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2554-2023</t>
        </is>
      </c>
      <c r="B30" s="1" t="n">
        <v>44943</v>
      </c>
      <c r="C30" s="1" t="n">
        <v>46194</v>
      </c>
      <c r="D30" t="inlineStr">
        <is>
          <t>SKÅNE LÄN</t>
        </is>
      </c>
      <c r="E30" t="inlineStr">
        <is>
          <t>SIMRISHAMN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43851-2024</t>
        </is>
      </c>
      <c r="B31" s="1" t="n">
        <v>45572</v>
      </c>
      <c r="C31" s="1" t="n">
        <v>46194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5028-2024</t>
        </is>
      </c>
      <c r="B32" s="1" t="n">
        <v>45329</v>
      </c>
      <c r="C32" s="1" t="n">
        <v>46194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42016-2022</t>
        </is>
      </c>
      <c r="B33" s="1" t="n">
        <v>44827</v>
      </c>
      <c r="C33" s="1" t="n">
        <v>46194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27426-2024</t>
        </is>
      </c>
      <c r="B34" s="1" t="n">
        <v>45474</v>
      </c>
      <c r="C34" s="1" t="n">
        <v>46194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45946-2022</t>
        </is>
      </c>
      <c r="B35" s="1" t="n">
        <v>44845</v>
      </c>
      <c r="C35" s="1" t="n">
        <v>46194</v>
      </c>
      <c r="D35" t="inlineStr">
        <is>
          <t>SKÅNE LÄN</t>
        </is>
      </c>
      <c r="E35" t="inlineStr">
        <is>
          <t>SIMRISHAMN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25822-2022</t>
        </is>
      </c>
      <c r="B36" s="1" t="n">
        <v>44733</v>
      </c>
      <c r="C36" s="1" t="n">
        <v>46194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46194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46194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</v>
      </c>
      <c r="C39" s="1" t="n">
        <v>46194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14994-2022</t>
        </is>
      </c>
      <c r="B40" s="1" t="n">
        <v>44657</v>
      </c>
      <c r="C40" s="1" t="n">
        <v>46194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18856-2024</t>
        </is>
      </c>
      <c r="B41" s="1" t="n">
        <v>45426</v>
      </c>
      <c r="C41" s="1" t="n">
        <v>46194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46194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4193-2024</t>
        </is>
      </c>
      <c r="B43" s="1" t="n">
        <v>45324</v>
      </c>
      <c r="C43" s="1" t="n">
        <v>46194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62413-2022</t>
        </is>
      </c>
      <c r="B44" s="1" t="n">
        <v>44923</v>
      </c>
      <c r="C44" s="1" t="n">
        <v>46194</v>
      </c>
      <c r="D44" t="inlineStr">
        <is>
          <t>SKÅNE LÄN</t>
        </is>
      </c>
      <c r="E44" t="inlineStr">
        <is>
          <t>SIMRISHAMN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46194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5224-2024</t>
        </is>
      </c>
      <c r="B46" s="1" t="n">
        <v>45330</v>
      </c>
      <c r="C46" s="1" t="n">
        <v>46194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63456-2023</t>
        </is>
      </c>
      <c r="B47" s="1" t="n">
        <v>45273</v>
      </c>
      <c r="C47" s="1" t="n">
        <v>46194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50138-2024</t>
        </is>
      </c>
      <c r="B48" s="1" t="n">
        <v>45600</v>
      </c>
      <c r="C48" s="1" t="n">
        <v>46194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</v>
      </c>
      <c r="C49" s="1" t="n">
        <v>46194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20669-2026</t>
        </is>
      </c>
      <c r="B50" s="1" t="n">
        <v>46141</v>
      </c>
      <c r="C50" s="1" t="n">
        <v>46194</v>
      </c>
      <c r="D50" t="inlineStr">
        <is>
          <t>SKÅNE LÄN</t>
        </is>
      </c>
      <c r="E50" t="inlineStr">
        <is>
          <t>SIMRISHAMN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46194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47874-2023</t>
        </is>
      </c>
      <c r="B52" s="1" t="n">
        <v>45204</v>
      </c>
      <c r="C52" s="1" t="n">
        <v>46194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3367-2024</t>
        </is>
      </c>
      <c r="B53" s="1" t="n">
        <v>45317</v>
      </c>
      <c r="C53" s="1" t="n">
        <v>46194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</v>
      </c>
      <c r="C54" s="1" t="n">
        <v>46194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46194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38846-2024</t>
        </is>
      </c>
      <c r="B56" s="1" t="n">
        <v>45547</v>
      </c>
      <c r="C56" s="1" t="n">
        <v>46194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19435-2024</t>
        </is>
      </c>
      <c r="B57" s="1" t="n">
        <v>45429</v>
      </c>
      <c r="C57" s="1" t="n">
        <v>46194</v>
      </c>
      <c r="D57" t="inlineStr">
        <is>
          <t>SKÅNE LÄN</t>
        </is>
      </c>
      <c r="E57" t="inlineStr">
        <is>
          <t>SIMRISHAMN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14104-2024</t>
        </is>
      </c>
      <c r="B58" s="1" t="n">
        <v>45392</v>
      </c>
      <c r="C58" s="1" t="n">
        <v>46194</v>
      </c>
      <c r="D58" t="inlineStr">
        <is>
          <t>SKÅNE LÄN</t>
        </is>
      </c>
      <c r="E58" t="inlineStr">
        <is>
          <t>SIMRISHAMN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14106-2024</t>
        </is>
      </c>
      <c r="B59" s="1" t="n">
        <v>45392</v>
      </c>
      <c r="C59" s="1" t="n">
        <v>46194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6006-2024</t>
        </is>
      </c>
      <c r="B60" s="1" t="n">
        <v>45336</v>
      </c>
      <c r="C60" s="1" t="n">
        <v>46194</v>
      </c>
      <c r="D60" t="inlineStr">
        <is>
          <t>SKÅNE LÄN</t>
        </is>
      </c>
      <c r="E60" t="inlineStr">
        <is>
          <t>SIMRISHAMN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3393-2024</t>
        </is>
      </c>
      <c r="B61" s="1" t="n">
        <v>45318</v>
      </c>
      <c r="C61" s="1" t="n">
        <v>46194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3395-2024</t>
        </is>
      </c>
      <c r="B62" s="1" t="n">
        <v>45318</v>
      </c>
      <c r="C62" s="1" t="n">
        <v>46194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55504-2025</t>
        </is>
      </c>
      <c r="B63" s="1" t="n">
        <v>45971</v>
      </c>
      <c r="C63" s="1" t="n">
        <v>46194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30775-2025</t>
        </is>
      </c>
      <c r="B64" s="1" t="n">
        <v>45831</v>
      </c>
      <c r="C64" s="1" t="n">
        <v>46194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7584-2024</t>
        </is>
      </c>
      <c r="B65" s="1" t="n">
        <v>45348</v>
      </c>
      <c r="C65" s="1" t="n">
        <v>46194</v>
      </c>
      <c r="D65" t="inlineStr">
        <is>
          <t>SKÅNE LÄN</t>
        </is>
      </c>
      <c r="E65" t="inlineStr">
        <is>
          <t>SIMRISHAMN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46194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3402-2024</t>
        </is>
      </c>
      <c r="B67" s="1" t="n">
        <v>45318</v>
      </c>
      <c r="C67" s="1" t="n">
        <v>46194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18005-2026</t>
        </is>
      </c>
      <c r="B68" s="1" t="n">
        <v>46125</v>
      </c>
      <c r="C68" s="1" t="n">
        <v>46194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39238-2023</t>
        </is>
      </c>
      <c r="B69" s="1" t="n">
        <v>45162</v>
      </c>
      <c r="C69" s="1" t="n">
        <v>46194</v>
      </c>
      <c r="D69" t="inlineStr">
        <is>
          <t>SKÅNE LÄN</t>
        </is>
      </c>
      <c r="E69" t="inlineStr">
        <is>
          <t>SIMRISHAMN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42374-2023</t>
        </is>
      </c>
      <c r="B70" s="1" t="n">
        <v>45180</v>
      </c>
      <c r="C70" s="1" t="n">
        <v>46194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</v>
      </c>
      <c r="C71" s="1" t="n">
        <v>46194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46194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20950-2023</t>
        </is>
      </c>
      <c r="B73" s="1" t="n">
        <v>45061</v>
      </c>
      <c r="C73" s="1" t="n">
        <v>46194</v>
      </c>
      <c r="D73" t="inlineStr">
        <is>
          <t>SKÅNE LÄN</t>
        </is>
      </c>
      <c r="E73" t="inlineStr">
        <is>
          <t>SIMRISHAMN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</v>
      </c>
      <c r="C74" s="1" t="n">
        <v>46194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46194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62316-2025</t>
        </is>
      </c>
      <c r="B76" s="1" t="n">
        <v>46006</v>
      </c>
      <c r="C76" s="1" t="n">
        <v>46194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39015-2023</t>
        </is>
      </c>
      <c r="B77" s="1" t="n">
        <v>45162</v>
      </c>
      <c r="C77" s="1" t="n">
        <v>46194</v>
      </c>
      <c r="D77" t="inlineStr">
        <is>
          <t>SKÅNE LÄN</t>
        </is>
      </c>
      <c r="E77" t="inlineStr">
        <is>
          <t>SIMRISHAMN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37189-2025</t>
        </is>
      </c>
      <c r="B78" s="1" t="n">
        <v>45875</v>
      </c>
      <c r="C78" s="1" t="n">
        <v>46194</v>
      </c>
      <c r="D78" t="inlineStr">
        <is>
          <t>SKÅNE LÄN</t>
        </is>
      </c>
      <c r="E78" t="inlineStr">
        <is>
          <t>SIMRISHAMN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46194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26471-2023</t>
        </is>
      </c>
      <c r="B80" s="1" t="n">
        <v>45092</v>
      </c>
      <c r="C80" s="1" t="n">
        <v>46194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56764-2024</t>
        </is>
      </c>
      <c r="B81" s="1" t="n">
        <v>45628</v>
      </c>
      <c r="C81" s="1" t="n">
        <v>46194</v>
      </c>
      <c r="D81" t="inlineStr">
        <is>
          <t>SKÅNE LÄN</t>
        </is>
      </c>
      <c r="E81" t="inlineStr">
        <is>
          <t>SIMRISHAMN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46194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63464-2023</t>
        </is>
      </c>
      <c r="B83" s="1" t="n">
        <v>45273</v>
      </c>
      <c r="C83" s="1" t="n">
        <v>46194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46194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1910-2026</t>
        </is>
      </c>
      <c r="B85" s="1" t="n">
        <v>46035</v>
      </c>
      <c r="C85" s="1" t="n">
        <v>46194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46194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15039-2024</t>
        </is>
      </c>
      <c r="B87" s="1" t="n">
        <v>45399</v>
      </c>
      <c r="C87" s="1" t="n">
        <v>46194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14702-2024</t>
        </is>
      </c>
      <c r="B88" s="1" t="n">
        <v>45397</v>
      </c>
      <c r="C88" s="1" t="n">
        <v>46194</v>
      </c>
      <c r="D88" t="inlineStr">
        <is>
          <t>SKÅNE LÄN</t>
        </is>
      </c>
      <c r="E88" t="inlineStr">
        <is>
          <t>SIMRISHAMN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39221-2023</t>
        </is>
      </c>
      <c r="B89" s="1" t="n">
        <v>45162</v>
      </c>
      <c r="C89" s="1" t="n">
        <v>46194</v>
      </c>
      <c r="D89" t="inlineStr">
        <is>
          <t>SKÅNE LÄN</t>
        </is>
      </c>
      <c r="E89" t="inlineStr">
        <is>
          <t>SIMRISHAMN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7083-2024</t>
        </is>
      </c>
      <c r="B90" s="1" t="n">
        <v>45343</v>
      </c>
      <c r="C90" s="1" t="n">
        <v>46194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3602-2024</t>
        </is>
      </c>
      <c r="B91" s="1" t="n">
        <v>45320</v>
      </c>
      <c r="C91" s="1" t="n">
        <v>46194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61876-2024</t>
        </is>
      </c>
      <c r="B92" s="1" t="n">
        <v>45652</v>
      </c>
      <c r="C92" s="1" t="n">
        <v>46194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3396-2024</t>
        </is>
      </c>
      <c r="B93" s="1" t="n">
        <v>45318</v>
      </c>
      <c r="C93" s="1" t="n">
        <v>46194</v>
      </c>
      <c r="D93" t="inlineStr">
        <is>
          <t>SKÅNE LÄN</t>
        </is>
      </c>
      <c r="E93" t="inlineStr">
        <is>
          <t>SIMRISHAMN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3405-2024</t>
        </is>
      </c>
      <c r="B94" s="1" t="n">
        <v>45318</v>
      </c>
      <c r="C94" s="1" t="n">
        <v>46194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46194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46194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58985-2022</t>
        </is>
      </c>
      <c r="B97" s="1" t="n">
        <v>44903</v>
      </c>
      <c r="C97" s="1" t="n">
        <v>46194</v>
      </c>
      <c r="D97" t="inlineStr">
        <is>
          <t>SKÅNE LÄN</t>
        </is>
      </c>
      <c r="E97" t="inlineStr">
        <is>
          <t>SIMRISHAMN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62149-2022</t>
        </is>
      </c>
      <c r="B98" s="1" t="n">
        <v>44922</v>
      </c>
      <c r="C98" s="1" t="n">
        <v>46194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30667-2023</t>
        </is>
      </c>
      <c r="B99" s="1" t="n">
        <v>45112</v>
      </c>
      <c r="C99" s="1" t="n">
        <v>46194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32488-2025</t>
        </is>
      </c>
      <c r="B100" s="1" t="n">
        <v>45838</v>
      </c>
      <c r="C100" s="1" t="n">
        <v>46194</v>
      </c>
      <c r="D100" t="inlineStr">
        <is>
          <t>SKÅNE LÄN</t>
        </is>
      </c>
      <c r="E100" t="inlineStr">
        <is>
          <t>SIMRISHAMN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2026-06-21T00:43:37Z</dcterms:created>
  <dcterms:modified xmlns:dcterms="http://purl.org/dc/terms/" xmlns:xsi="http://www.w3.org/2001/XMLSchema-instance" xsi:type="dcterms:W3CDTF">2026-06-21T00:43:37Z</dcterms:modified>
</cp:coreProperties>
</file>