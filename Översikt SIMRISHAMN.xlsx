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46311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46311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46311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46311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46311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46311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46311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46311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46311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46311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46311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7082-2024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46311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22.7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Småvänderot</t>
        </is>
      </c>
      <c r="W13">
        <f>HYPERLINK("https://klasma.github.io/Logging_1291/artfynd/A 7082-2024 artfynd.xlsx", "A 7082-2024")</f>
        <v/>
      </c>
      <c r="X13">
        <f>HYPERLINK("https://klasma.github.io/Logging_1291/kartor/A 7082-2024 karta.png", "A 7082-2024")</f>
        <v/>
      </c>
      <c r="Y13">
        <f>HYPERLINK("https://klasma.github.io/Logging_1291/kartor_geotiff/A 7082-2024 georefererad karta.tif", "A 7082-2024")</f>
        <v/>
      </c>
      <c r="AA13">
        <f>HYPERLINK("https://klasma.github.io/Logging_1291/klagomål/A 7082-2024 FSC-klagomål.docx", "A 7082-2024")</f>
        <v/>
      </c>
      <c r="AB13">
        <f>HYPERLINK("https://klasma.github.io/Logging_1291/klagomålsmail/A 7082-2024 FSC-klagomål mail.docx", "A 7082-2024")</f>
        <v/>
      </c>
      <c r="AC13">
        <f>HYPERLINK("https://klasma.github.io/Logging_1291/tillsyn/A 7082-2024 tillsynsbegäran.docx", "A 7082-2024")</f>
        <v/>
      </c>
      <c r="AD13">
        <f>HYPERLINK("https://klasma.github.io/Logging_1291/tillsynsmail/A 7082-2024 tillsynsbegäran mail.docx", "A 7082-2024")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46311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46311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46311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46311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50134-2024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46311</v>
      </c>
      <c r="F18" t="inlineStr">
        <is>
          <t>SKÅNE LÄN</t>
        </is>
      </c>
      <c r="G18" t="inlineStr">
        <is>
          <t>SIMRISHAMN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50134-2024 artfynd.xlsx", "A 50134-2024")</f>
        <v/>
      </c>
      <c r="X18">
        <f>HYPERLINK("https://klasma.github.io/Logging_1291/kartor/A 50134-2024 karta.png", "A 50134-2024")</f>
        <v/>
      </c>
      <c r="Y18">
        <f>HYPERLINK("https://klasma.github.io/Logging_1291/kartor_geotiff/A 50134-2024 georefererad karta.tif", "A 50134-2024")</f>
        <v/>
      </c>
      <c r="AA18">
        <f>HYPERLINK("https://klasma.github.io/Logging_1291/klagomål/A 50134-2024 FSC-klagomål.docx", "A 50134-2024")</f>
        <v/>
      </c>
      <c r="AB18">
        <f>HYPERLINK("https://klasma.github.io/Logging_1291/klagomålsmail/A 50134-2024 FSC-klagomål mail.docx", "A 50134-2024")</f>
        <v/>
      </c>
      <c r="AC18">
        <f>HYPERLINK("https://klasma.github.io/Logging_1291/tillsyn/A 50134-2024 tillsynsbegäran.docx", "A 50134-2024")</f>
        <v/>
      </c>
      <c r="AD18">
        <f>HYPERLINK("https://klasma.github.io/Logging_1291/tillsynsmail/A 50134-2024 tillsynsbegäran mail.docx", "A 50134-2024")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46311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46311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46311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46311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46311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46311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46311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46311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46311</v>
      </c>
      <c r="F27" t="inlineStr">
        <is>
          <t>SKÅNE LÄN</t>
        </is>
      </c>
      <c r="G27" t="inlineStr">
        <is>
          <t>SIMRISHAMN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25822-2022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44733</v>
      </c>
      <c r="E28" s="1" t="n">
        <v>46311</v>
      </c>
      <c r="F28" t="inlineStr">
        <is>
          <t>SKÅNE LÄN</t>
        </is>
      </c>
      <c r="G28" t="inlineStr">
        <is>
          <t>SIMRISHAMN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45043</v>
      </c>
      <c r="E29" s="1" t="n">
        <v>46311</v>
      </c>
      <c r="F29" t="inlineStr">
        <is>
          <t>SKÅNE LÄN</t>
        </is>
      </c>
      <c r="G29" t="inlineStr">
        <is>
          <t>SIMRISHAMN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45329</v>
      </c>
      <c r="E30" s="1" t="n">
        <v>46311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45317</v>
      </c>
      <c r="E31" s="1" t="n">
        <v>46311</v>
      </c>
      <c r="F31" t="inlineStr">
        <is>
          <t>SKÅNE LÄN</t>
        </is>
      </c>
      <c r="G31" t="inlineStr">
        <is>
          <t>SIMRISHAMN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17110-2025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45755</v>
      </c>
      <c r="E32" s="1" t="n">
        <v>46311</v>
      </c>
      <c r="F32" t="inlineStr">
        <is>
          <t>SKÅNE LÄN</t>
        </is>
      </c>
      <c r="G32" t="inlineStr">
        <is>
          <t>SIMRISHAMN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38846-2024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46311</v>
      </c>
      <c r="F33" t="inlineStr">
        <is>
          <t>SKÅNE LÄN</t>
        </is>
      </c>
      <c r="G33" t="inlineStr">
        <is>
          <t>SIMRISHAMN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45429</v>
      </c>
      <c r="E34" s="1" t="n">
        <v>46311</v>
      </c>
      <c r="F34" t="inlineStr">
        <is>
          <t>SKÅNE LÄN</t>
        </is>
      </c>
      <c r="G34" t="inlineStr">
        <is>
          <t>SIMRISHAMN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14104-2024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45392</v>
      </c>
      <c r="E35" s="1" t="n">
        <v>46311</v>
      </c>
      <c r="F35" t="inlineStr">
        <is>
          <t>SKÅNE LÄN</t>
        </is>
      </c>
      <c r="G35" t="inlineStr">
        <is>
          <t>SIMRISHAMN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14106-2024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45392</v>
      </c>
      <c r="E36" s="1" t="n">
        <v>46311</v>
      </c>
      <c r="F36" t="inlineStr">
        <is>
          <t>SKÅNE LÄN</t>
        </is>
      </c>
      <c r="G36" t="inlineStr">
        <is>
          <t>SIMRISHAMN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46311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46311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45700</v>
      </c>
      <c r="E39" s="1" t="n">
        <v>46311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45318</v>
      </c>
      <c r="E40" s="1" t="n">
        <v>46311</v>
      </c>
      <c r="F40" t="inlineStr">
        <is>
          <t>SKÅNE LÄN</t>
        </is>
      </c>
      <c r="G40" t="inlineStr">
        <is>
          <t>SIMRISHAMN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45318</v>
      </c>
      <c r="E41" s="1" t="n">
        <v>46311</v>
      </c>
      <c r="F41" t="inlineStr">
        <is>
          <t>SKÅNE LÄN</t>
        </is>
      </c>
      <c r="G41" t="inlineStr">
        <is>
          <t>SIMRISHAMN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46311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18.4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45555</v>
      </c>
      <c r="E43" s="1" t="n">
        <v>46311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46311</v>
      </c>
      <c r="F44" t="inlineStr">
        <is>
          <t>SKÅNE LÄN</t>
        </is>
      </c>
      <c r="G44" t="inlineStr">
        <is>
          <t>SIMRISHAMN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44978</v>
      </c>
      <c r="E45" s="1" t="n">
        <v>46311</v>
      </c>
      <c r="F45" t="inlineStr">
        <is>
          <t>SKÅNE LÄN</t>
        </is>
      </c>
      <c r="G45" t="inlineStr">
        <is>
          <t>SIMRISHAMN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30911-2024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45498</v>
      </c>
      <c r="E46" s="1" t="n">
        <v>46311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45089</v>
      </c>
      <c r="E47" s="1" t="n">
        <v>46311</v>
      </c>
      <c r="F47" t="inlineStr">
        <is>
          <t>SKÅNE LÄN</t>
        </is>
      </c>
      <c r="G47" t="inlineStr">
        <is>
          <t>SIMRISHAMN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7584-2024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45348</v>
      </c>
      <c r="E48" s="1" t="n">
        <v>46311</v>
      </c>
      <c r="F48" t="inlineStr">
        <is>
          <t>SKÅNE LÄN</t>
        </is>
      </c>
      <c r="G48" t="inlineStr">
        <is>
          <t>SIMRISHAMN</t>
        </is>
      </c>
      <c r="I48" t="n">
        <v>6.9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35692-2024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45532</v>
      </c>
      <c r="E49" s="1" t="n">
        <v>46311</v>
      </c>
      <c r="F49" t="inlineStr">
        <is>
          <t>SKÅNE LÄN</t>
        </is>
      </c>
      <c r="G49" t="inlineStr">
        <is>
          <t>SIMRISHAMN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45318</v>
      </c>
      <c r="E50" s="1" t="n">
        <v>46311</v>
      </c>
      <c r="F50" t="inlineStr">
        <is>
          <t>SKÅNE LÄN</t>
        </is>
      </c>
      <c r="G50" t="inlineStr">
        <is>
          <t>SIMRISHAMN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45162</v>
      </c>
      <c r="E51" s="1" t="n">
        <v>46311</v>
      </c>
      <c r="F51" t="inlineStr">
        <is>
          <t>SKÅNE LÄN</t>
        </is>
      </c>
      <c r="G51" t="inlineStr">
        <is>
          <t>SIMRISHAMN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46311</v>
      </c>
      <c r="F52" t="inlineStr">
        <is>
          <t>SKÅNE LÄN</t>
        </is>
      </c>
      <c r="G52" t="inlineStr">
        <is>
          <t>SIMRISHAMN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45061</v>
      </c>
      <c r="E53" s="1" t="n">
        <v>46311</v>
      </c>
      <c r="F53" t="inlineStr">
        <is>
          <t>SKÅNE LÄN</t>
        </is>
      </c>
      <c r="G53" t="inlineStr">
        <is>
          <t>SIMRISHAMN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45343</v>
      </c>
      <c r="E54" s="1" t="n">
        <v>46311</v>
      </c>
      <c r="F54" t="inlineStr">
        <is>
          <t>SKÅNE LÄN</t>
        </is>
      </c>
      <c r="G54" t="inlineStr">
        <is>
          <t>SIMRISHAMN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45569</v>
      </c>
      <c r="E55" s="1" t="n">
        <v>46311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45334</v>
      </c>
      <c r="E56" s="1" t="n">
        <v>46311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39015-2023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45162</v>
      </c>
      <c r="E57" s="1" t="n">
        <v>46311</v>
      </c>
      <c r="F57" t="inlineStr">
        <is>
          <t>SKÅNE LÄN</t>
        </is>
      </c>
      <c r="G57" t="inlineStr">
        <is>
          <t>SIMRISHAMN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46311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46311</v>
      </c>
      <c r="F59" t="inlineStr">
        <is>
          <t>SKÅNE LÄN</t>
        </is>
      </c>
      <c r="G59" t="inlineStr">
        <is>
          <t>SIMRISHAMN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14994-2022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44657</v>
      </c>
      <c r="E60" s="1" t="n">
        <v>46311</v>
      </c>
      <c r="F60" t="inlineStr">
        <is>
          <t>SKÅNE LÄN</t>
        </is>
      </c>
      <c r="G60" t="inlineStr">
        <is>
          <t>SIMRISHAMN</t>
        </is>
      </c>
      <c r="H60" t="inlineStr">
        <is>
          <t>Övriga Aktiebolag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45426</v>
      </c>
      <c r="E61" s="1" t="n">
        <v>46311</v>
      </c>
      <c r="F61" t="inlineStr">
        <is>
          <t>SKÅNE LÄN</t>
        </is>
      </c>
      <c r="G61" t="inlineStr">
        <is>
          <t>SIMRISHAMN</t>
        </is>
      </c>
      <c r="H61" t="inlineStr">
        <is>
          <t>Övriga Aktiebolag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46311</v>
      </c>
      <c r="F62" t="inlineStr">
        <is>
          <t>SKÅNE LÄN</t>
        </is>
      </c>
      <c r="G62" t="inlineStr">
        <is>
          <t>SIMRISHAMN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45628</v>
      </c>
      <c r="E63" s="1" t="n">
        <v>46311</v>
      </c>
      <c r="F63" t="inlineStr">
        <is>
          <t>SKÅNE LÄN</t>
        </is>
      </c>
      <c r="G63" t="inlineStr">
        <is>
          <t>SIMRISHAMN</t>
        </is>
      </c>
      <c r="I63" t="n">
        <v>7.5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17102-2025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45755</v>
      </c>
      <c r="E64" s="1" t="n">
        <v>46311</v>
      </c>
      <c r="F64" t="inlineStr">
        <is>
          <t>SKÅNE LÄN</t>
        </is>
      </c>
      <c r="G64" t="inlineStr">
        <is>
          <t>SIMRISHAMN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44923</v>
      </c>
      <c r="E65" s="1" t="n">
        <v>46311</v>
      </c>
      <c r="F65" t="inlineStr">
        <is>
          <t>SKÅNE LÄN</t>
        </is>
      </c>
      <c r="G65" t="inlineStr">
        <is>
          <t>SIMRISHAMN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63456-2023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45273</v>
      </c>
      <c r="E66" s="1" t="n">
        <v>46311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46311</v>
      </c>
      <c r="F67" t="inlineStr">
        <is>
          <t>SKÅNE LÄN</t>
        </is>
      </c>
      <c r="G67" t="inlineStr">
        <is>
          <t>SIMRISHAMN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45318</v>
      </c>
      <c r="E68" s="1" t="n">
        <v>46311</v>
      </c>
      <c r="F68" t="inlineStr">
        <is>
          <t>SKÅNE LÄN</t>
        </is>
      </c>
      <c r="G68" t="inlineStr">
        <is>
          <t>SIMRISHAMN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46311</v>
      </c>
      <c r="F69" t="inlineStr">
        <is>
          <t>SKÅNE LÄN</t>
        </is>
      </c>
      <c r="G69" t="inlineStr">
        <is>
          <t>SIMRISHAMN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45397</v>
      </c>
      <c r="E70" s="1" t="n">
        <v>46311</v>
      </c>
      <c r="F70" t="inlineStr">
        <is>
          <t>SKÅNE LÄN</t>
        </is>
      </c>
      <c r="G70" t="inlineStr">
        <is>
          <t>SIMRISHAMN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46311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45162</v>
      </c>
      <c r="E72" s="1" t="n">
        <v>46311</v>
      </c>
      <c r="F72" t="inlineStr">
        <is>
          <t>SKÅNE LÄN</t>
        </is>
      </c>
      <c r="G72" t="inlineStr">
        <is>
          <t>SIMRISHAMN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37052-2025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46311</v>
      </c>
      <c r="F73" t="inlineStr">
        <is>
          <t>SKÅNE LÄN</t>
        </is>
      </c>
      <c r="G73" t="inlineStr">
        <is>
          <t>SIMRISHAMN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45343</v>
      </c>
      <c r="E74" s="1" t="n">
        <v>46311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45320</v>
      </c>
      <c r="E75" s="1" t="n">
        <v>46311</v>
      </c>
      <c r="F75" t="inlineStr">
        <is>
          <t>SKÅNE LÄN</t>
        </is>
      </c>
      <c r="G75" t="inlineStr">
        <is>
          <t>SIMRISHAMN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45652</v>
      </c>
      <c r="E76" s="1" t="n">
        <v>46311</v>
      </c>
      <c r="F76" t="inlineStr">
        <is>
          <t>SKÅNE LÄN</t>
        </is>
      </c>
      <c r="G76" t="inlineStr">
        <is>
          <t>SIMRISHAMN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46311</v>
      </c>
      <c r="F77" t="inlineStr">
        <is>
          <t>SKÅNE LÄN</t>
        </is>
      </c>
      <c r="G77" t="inlineStr">
        <is>
          <t>SIMRISHAMN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56820-2024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45628</v>
      </c>
      <c r="E78" s="1" t="n">
        <v>46311</v>
      </c>
      <c r="F78" t="inlineStr">
        <is>
          <t>SKÅNE LÄN</t>
        </is>
      </c>
      <c r="G78" t="inlineStr">
        <is>
          <t>SIMRISHAMN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46311</v>
      </c>
      <c r="F79" t="inlineStr">
        <is>
          <t>SKÅNE LÄN</t>
        </is>
      </c>
      <c r="G79" t="inlineStr">
        <is>
          <t>SIMRISHAMN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44922</v>
      </c>
      <c r="E80" s="1" t="n">
        <v>46311</v>
      </c>
      <c r="F80" t="inlineStr">
        <is>
          <t>SKÅNE LÄN</t>
        </is>
      </c>
      <c r="G80" t="inlineStr">
        <is>
          <t>SIMRISHAMN</t>
        </is>
      </c>
      <c r="H80" t="inlineStr">
        <is>
          <t>Övriga Aktiebolag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18005-2026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46125</v>
      </c>
      <c r="E81" s="1" t="n">
        <v>46311</v>
      </c>
      <c r="F81" t="inlineStr">
        <is>
          <t>SKÅNE LÄN</t>
        </is>
      </c>
      <c r="G81" t="inlineStr">
        <is>
          <t>SIMRISHAMN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44876</v>
      </c>
      <c r="E82" s="1" t="n">
        <v>46311</v>
      </c>
      <c r="F82" t="inlineStr">
        <is>
          <t>SKÅNE LÄN</t>
        </is>
      </c>
      <c r="G82" t="inlineStr">
        <is>
          <t>SIMRISHAMN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46311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46311</v>
      </c>
      <c r="F84" t="inlineStr">
        <is>
          <t>SKÅNE LÄN</t>
        </is>
      </c>
      <c r="G84" t="inlineStr">
        <is>
          <t>SIMRISHAMN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44943</v>
      </c>
      <c r="E85" s="1" t="n">
        <v>46311</v>
      </c>
      <c r="F85" t="inlineStr">
        <is>
          <t>SKÅNE LÄN</t>
        </is>
      </c>
      <c r="G85" t="inlineStr">
        <is>
          <t>SIMRISHAMN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45572</v>
      </c>
      <c r="E86" s="1" t="n">
        <v>46311</v>
      </c>
      <c r="F86" t="inlineStr">
        <is>
          <t>SKÅNE LÄN</t>
        </is>
      </c>
      <c r="G86" t="inlineStr">
        <is>
          <t>SIMRISHAMN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44827</v>
      </c>
      <c r="E87" s="1" t="n">
        <v>46311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45946-2022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46311</v>
      </c>
      <c r="F88" t="inlineStr">
        <is>
          <t>SKÅNE LÄN</t>
        </is>
      </c>
      <c r="G88" t="inlineStr">
        <is>
          <t>SIMRISHAMN</t>
        </is>
      </c>
      <c r="I88" t="n">
        <v>14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28269-2025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45818</v>
      </c>
      <c r="E89" s="1" t="n">
        <v>46311</v>
      </c>
      <c r="F89" t="inlineStr">
        <is>
          <t>SKÅNE LÄN</t>
        </is>
      </c>
      <c r="G89" t="inlineStr">
        <is>
          <t>SIMRISHAMN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42231-2023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46311</v>
      </c>
      <c r="F90" t="inlineStr">
        <is>
          <t>SKÅNE LÄN</t>
        </is>
      </c>
      <c r="G90" t="inlineStr">
        <is>
          <t>SIMRISHAMN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46311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14103-2024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45392</v>
      </c>
      <c r="E92" s="1" t="n">
        <v>46311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46311</v>
      </c>
      <c r="F93" t="inlineStr">
        <is>
          <t>SKÅNE LÄN</t>
        </is>
      </c>
      <c r="G93" t="inlineStr">
        <is>
          <t>SIMRISHAMN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50138-2024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46311</v>
      </c>
      <c r="F94" t="inlineStr">
        <is>
          <t>SKÅNE LÄN</t>
        </is>
      </c>
      <c r="G94" t="inlineStr">
        <is>
          <t>SIMRISHAMN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46311</v>
      </c>
      <c r="F95" t="inlineStr">
        <is>
          <t>SKÅNE LÄN</t>
        </is>
      </c>
      <c r="G95" t="inlineStr">
        <is>
          <t>SIMRISHAMN</t>
        </is>
      </c>
      <c r="H95" t="inlineStr">
        <is>
          <t>Övriga Aktiebolag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46311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46311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46311</v>
      </c>
      <c r="F98" t="inlineStr">
        <is>
          <t>SKÅNE LÄN</t>
        </is>
      </c>
      <c r="G98" t="inlineStr">
        <is>
          <t>SIMRISHAMN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46311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46311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46311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2026-10-16T02:20:29Z</dcterms:created>
  <dcterms:modified xmlns:dcterms="http://purl.org/dc/terms/" xmlns:xsi="http://www.w3.org/2001/XMLSchema-instance" xsi:type="dcterms:W3CDTF">2026-10-16T02:20:29Z</dcterms:modified>
</cp:coreProperties>
</file>