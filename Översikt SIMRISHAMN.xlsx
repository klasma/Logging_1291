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46303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46303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46303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46303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46303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46303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46303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50134-2024 artfynd.xlsx", "A 50134-2024")</f>
        <v/>
      </c>
      <c r="X15">
        <f>HYPERLINK("https://klasma.github.io/Logging_1291/kartor/A 50134-2024 karta.png", "A 50134-2024")</f>
        <v/>
      </c>
      <c r="Y15">
        <f>HYPERLINK("https://klasma.github.io/Logging_1291/kartor_geotiff/A 50134-2024 georefererad karta.tif", "A 50134-2024")</f>
        <v/>
      </c>
      <c r="AA15">
        <f>HYPERLINK("https://klasma.github.io/Logging_1291/klagomål/A 50134-2024 FSC-klagomål.docx", "A 50134-2024")</f>
        <v/>
      </c>
      <c r="AB15">
        <f>HYPERLINK("https://klasma.github.io/Logging_1291/klagomålsmail/A 50134-2024 FSC-klagomål mail.docx", "A 50134-2024")</f>
        <v/>
      </c>
      <c r="AC15">
        <f>HYPERLINK("https://klasma.github.io/Logging_1291/tillsyn/A 50134-2024 tillsynsbegäran.docx", "A 50134-2024")</f>
        <v/>
      </c>
      <c r="AD15">
        <f>HYPERLINK("https://klasma.github.io/Logging_1291/tillsynsmail/A 50134-2024 tillsynsbegäran mail.docx", "A 50134-2024")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46303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45802-2022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46303</v>
      </c>
      <c r="F17" t="inlineStr">
        <is>
          <t>SKÅNE LÄN</t>
        </is>
      </c>
      <c r="G17" t="inlineStr">
        <is>
          <t>SIMRISHAMN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Hartsticka</t>
        </is>
      </c>
      <c r="W17">
        <f>HYPERLINK("https://klasma.github.io/Logging_1291/artfynd/A 45802-2022 artfynd.xlsx", "A 45802-2022")</f>
        <v/>
      </c>
      <c r="X17">
        <f>HYPERLINK("https://klasma.github.io/Logging_1291/kartor/A 45802-2022 karta.png", "A 45802-2022")</f>
        <v/>
      </c>
      <c r="Y17">
        <f>HYPERLINK("https://klasma.github.io/Logging_1291/kartor_geotiff/A 45802-2022 georefererad karta.tif", "A 45802-2022")</f>
        <v/>
      </c>
      <c r="AA17">
        <f>HYPERLINK("https://klasma.github.io/Logging_1291/klagomål/A 45802-2022 FSC-klagomål.docx", "A 45802-2022")</f>
        <v/>
      </c>
      <c r="AB17">
        <f>HYPERLINK("https://klasma.github.io/Logging_1291/klagomålsmail/A 45802-2022 FSC-klagomål mail.docx", "A 45802-2022")</f>
        <v/>
      </c>
      <c r="AC17">
        <f>HYPERLINK("https://klasma.github.io/Logging_1291/tillsyn/A 45802-2022 tillsynsbegäran.docx", "A 45802-2022")</f>
        <v/>
      </c>
      <c r="AD17">
        <f>HYPERLINK("https://klasma.github.io/Logging_1291/tillsynsmail/A 45802-2022 tillsynsbegäran mail.docx", "A 45802-2022")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46303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46303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46303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46303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46303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46303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46303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46303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46303</v>
      </c>
      <c r="F29" t="inlineStr">
        <is>
          <t>SKÅNE LÄN</t>
        </is>
      </c>
      <c r="G29" t="inlineStr">
        <is>
          <t>SIMRISHAMN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45043</v>
      </c>
      <c r="E30" s="1" t="n">
        <v>46303</v>
      </c>
      <c r="F30" t="inlineStr">
        <is>
          <t>SKÅNE LÄN</t>
        </is>
      </c>
      <c r="G30" t="inlineStr">
        <is>
          <t>SIMRISHAMN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45317</v>
      </c>
      <c r="E31" s="1" t="n">
        <v>46303</v>
      </c>
      <c r="F31" t="inlineStr">
        <is>
          <t>SKÅNE LÄN</t>
        </is>
      </c>
      <c r="G31" t="inlineStr">
        <is>
          <t>SIMRISHAMN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45204</v>
      </c>
      <c r="E32" s="1" t="n">
        <v>46303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46303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46303</v>
      </c>
      <c r="F34" t="inlineStr">
        <is>
          <t>SKÅNE LÄN</t>
        </is>
      </c>
      <c r="G34" t="inlineStr">
        <is>
          <t>SIMRISHAMN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38846-2024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46303</v>
      </c>
      <c r="F35" t="inlineStr">
        <is>
          <t>SKÅNE LÄN</t>
        </is>
      </c>
      <c r="G35" t="inlineStr">
        <is>
          <t>SIMRISHAMN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19435-2024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45429</v>
      </c>
      <c r="E36" s="1" t="n">
        <v>46303</v>
      </c>
      <c r="F36" t="inlineStr">
        <is>
          <t>SKÅNE LÄN</t>
        </is>
      </c>
      <c r="G36" t="inlineStr">
        <is>
          <t>SIMRISHAMN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45392</v>
      </c>
      <c r="E37" s="1" t="n">
        <v>46303</v>
      </c>
      <c r="F37" t="inlineStr">
        <is>
          <t>SKÅNE LÄN</t>
        </is>
      </c>
      <c r="G37" t="inlineStr">
        <is>
          <t>SIMRISHAMN</t>
        </is>
      </c>
      <c r="I37" t="n">
        <v>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14106-2024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45392</v>
      </c>
      <c r="E38" s="1" t="n">
        <v>46303</v>
      </c>
      <c r="F38" t="inlineStr">
        <is>
          <t>SKÅNE LÄN</t>
        </is>
      </c>
      <c r="G38" t="inlineStr">
        <is>
          <t>SIMRISHAMN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46303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45336</v>
      </c>
      <c r="E40" s="1" t="n">
        <v>46303</v>
      </c>
      <c r="F40" t="inlineStr">
        <is>
          <t>SKÅNE LÄN</t>
        </is>
      </c>
      <c r="G40" t="inlineStr">
        <is>
          <t>SIMRISHAMN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45318</v>
      </c>
      <c r="E41" s="1" t="n">
        <v>46303</v>
      </c>
      <c r="F41" t="inlineStr">
        <is>
          <t>SKÅNE LÄN</t>
        </is>
      </c>
      <c r="G41" t="inlineStr">
        <is>
          <t>SIMRISHAMN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45318</v>
      </c>
      <c r="E42" s="1" t="n">
        <v>46303</v>
      </c>
      <c r="F42" t="inlineStr">
        <is>
          <t>SKÅNE LÄN</t>
        </is>
      </c>
      <c r="G42" t="inlineStr">
        <is>
          <t>SIMRISHAMN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46303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18.4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40584-2024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45555</v>
      </c>
      <c r="E44" s="1" t="n">
        <v>46303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46303</v>
      </c>
      <c r="F45" t="inlineStr">
        <is>
          <t>SKÅNE LÄN</t>
        </is>
      </c>
      <c r="G45" t="inlineStr">
        <is>
          <t>SIMRISHAMN</t>
        </is>
      </c>
      <c r="I45" t="n">
        <v>6.9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35692-2024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46303</v>
      </c>
      <c r="F46" t="inlineStr">
        <is>
          <t>SKÅNE LÄN</t>
        </is>
      </c>
      <c r="G46" t="inlineStr">
        <is>
          <t>SIMRISHAMN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45318</v>
      </c>
      <c r="E47" s="1" t="n">
        <v>46303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44978</v>
      </c>
      <c r="E48" s="1" t="n">
        <v>46303</v>
      </c>
      <c r="F48" t="inlineStr">
        <is>
          <t>SKÅNE LÄN</t>
        </is>
      </c>
      <c r="G48" t="inlineStr">
        <is>
          <t>SIMRISHAMN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45498</v>
      </c>
      <c r="E49" s="1" t="n">
        <v>46303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46303</v>
      </c>
      <c r="F50" t="inlineStr">
        <is>
          <t>SKÅNE LÄN</t>
        </is>
      </c>
      <c r="G50" t="inlineStr">
        <is>
          <t>SIMRISHAMN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45162</v>
      </c>
      <c r="E51" s="1" t="n">
        <v>46303</v>
      </c>
      <c r="F51" t="inlineStr">
        <is>
          <t>SKÅNE LÄN</t>
        </is>
      </c>
      <c r="G51" t="inlineStr">
        <is>
          <t>SIMRISHAMN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46303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46303</v>
      </c>
      <c r="F53" t="inlineStr">
        <is>
          <t>SKÅNE LÄN</t>
        </is>
      </c>
      <c r="G53" t="inlineStr">
        <is>
          <t>SIMRISHAMN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45061</v>
      </c>
      <c r="E54" s="1" t="n">
        <v>46303</v>
      </c>
      <c r="F54" t="inlineStr">
        <is>
          <t>SKÅNE LÄN</t>
        </is>
      </c>
      <c r="G54" t="inlineStr">
        <is>
          <t>SIMRISHAMN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45569</v>
      </c>
      <c r="E55" s="1" t="n">
        <v>46303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45334</v>
      </c>
      <c r="E56" s="1" t="n">
        <v>46303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6830-2025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45700</v>
      </c>
      <c r="E57" s="1" t="n">
        <v>46303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45162</v>
      </c>
      <c r="E58" s="1" t="n">
        <v>46303</v>
      </c>
      <c r="F58" t="inlineStr">
        <is>
          <t>SKÅNE LÄN</t>
        </is>
      </c>
      <c r="G58" t="inlineStr">
        <is>
          <t>SIMRISHAMN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45875</v>
      </c>
      <c r="E59" s="1" t="n">
        <v>46303</v>
      </c>
      <c r="F59" t="inlineStr">
        <is>
          <t>SKÅNE LÄN</t>
        </is>
      </c>
      <c r="G59" t="inlineStr">
        <is>
          <t>SIMRISHAMN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45343</v>
      </c>
      <c r="E60" s="1" t="n">
        <v>46303</v>
      </c>
      <c r="F60" t="inlineStr">
        <is>
          <t>SKÅNE LÄN</t>
        </is>
      </c>
      <c r="G60" t="inlineStr">
        <is>
          <t>SIMRISHAMN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55504-2025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46303</v>
      </c>
      <c r="F61" t="inlineStr">
        <is>
          <t>SKÅNE LÄN</t>
        </is>
      </c>
      <c r="G61" t="inlineStr">
        <is>
          <t>SIMRISHAMN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46303</v>
      </c>
      <c r="F62" t="inlineStr">
        <is>
          <t>SKÅNE LÄN</t>
        </is>
      </c>
      <c r="G62" t="inlineStr">
        <is>
          <t>SIMRISHAMN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45628</v>
      </c>
      <c r="E63" s="1" t="n">
        <v>46303</v>
      </c>
      <c r="F63" t="inlineStr">
        <is>
          <t>SKÅNE LÄN</t>
        </is>
      </c>
      <c r="G63" t="inlineStr">
        <is>
          <t>SIMRISHAMN</t>
        </is>
      </c>
      <c r="I63" t="n">
        <v>7.5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45755</v>
      </c>
      <c r="E64" s="1" t="n">
        <v>46303</v>
      </c>
      <c r="F64" t="inlineStr">
        <is>
          <t>SKÅNE LÄN</t>
        </is>
      </c>
      <c r="G64" t="inlineStr">
        <is>
          <t>SIMRISHAMN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46303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46303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46303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44923</v>
      </c>
      <c r="E68" s="1" t="n">
        <v>46303</v>
      </c>
      <c r="F68" t="inlineStr">
        <is>
          <t>SKÅNE LÄN</t>
        </is>
      </c>
      <c r="G68" t="inlineStr">
        <is>
          <t>SIMRISHAMN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44720</v>
      </c>
      <c r="E69" s="1" t="n">
        <v>46303</v>
      </c>
      <c r="F69" t="inlineStr">
        <is>
          <t>SKÅNE LÄN</t>
        </is>
      </c>
      <c r="G69" t="inlineStr">
        <is>
          <t>SIMRISHAMN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46303</v>
      </c>
      <c r="F70" t="inlineStr">
        <is>
          <t>SKÅNE LÄN</t>
        </is>
      </c>
      <c r="G70" t="inlineStr">
        <is>
          <t>SIMRISHAMN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46303</v>
      </c>
      <c r="F71" t="inlineStr">
        <is>
          <t>SKÅNE LÄN</t>
        </is>
      </c>
      <c r="G71" t="inlineStr">
        <is>
          <t>SIMRISHAMN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63456-2023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46303</v>
      </c>
      <c r="F72" t="inlineStr">
        <is>
          <t>SKÅNE LÄN</t>
        </is>
      </c>
      <c r="G72" t="inlineStr">
        <is>
          <t>SIMRISHAMN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45318</v>
      </c>
      <c r="E73" s="1" t="n">
        <v>46303</v>
      </c>
      <c r="F73" t="inlineStr">
        <is>
          <t>SKÅNE LÄN</t>
        </is>
      </c>
      <c r="G73" t="inlineStr">
        <is>
          <t>SIMRISHAMN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46303</v>
      </c>
      <c r="F74" t="inlineStr">
        <is>
          <t>SKÅNE LÄN</t>
        </is>
      </c>
      <c r="G74" t="inlineStr">
        <is>
          <t>SIMRISHAMN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45397</v>
      </c>
      <c r="E75" s="1" t="n">
        <v>46303</v>
      </c>
      <c r="F75" t="inlineStr">
        <is>
          <t>SKÅNE LÄN</t>
        </is>
      </c>
      <c r="G75" t="inlineStr">
        <is>
          <t>SIMRISHAMN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45162</v>
      </c>
      <c r="E76" s="1" t="n">
        <v>46303</v>
      </c>
      <c r="F76" t="inlineStr">
        <is>
          <t>SKÅNE LÄN</t>
        </is>
      </c>
      <c r="G76" t="inlineStr">
        <is>
          <t>SIMRISHAMN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45343</v>
      </c>
      <c r="E77" s="1" t="n">
        <v>46303</v>
      </c>
      <c r="F77" t="inlineStr">
        <is>
          <t>SKÅNE LÄN</t>
        </is>
      </c>
      <c r="G77" t="inlineStr">
        <is>
          <t>SIMRISHAMN</t>
        </is>
      </c>
      <c r="H77" t="inlineStr">
        <is>
          <t>Övriga Aktiebolag</t>
        </is>
      </c>
      <c r="I77" t="n">
        <v>10.6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46303</v>
      </c>
      <c r="F78" t="inlineStr">
        <is>
          <t>SKÅNE LÄN</t>
        </is>
      </c>
      <c r="G78" t="inlineStr">
        <is>
          <t>SIMRISHAMN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45652</v>
      </c>
      <c r="E79" s="1" t="n">
        <v>46303</v>
      </c>
      <c r="F79" t="inlineStr">
        <is>
          <t>SKÅNE LÄN</t>
        </is>
      </c>
      <c r="G79" t="inlineStr">
        <is>
          <t>SIMRISHAMN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45318</v>
      </c>
      <c r="E80" s="1" t="n">
        <v>46303</v>
      </c>
      <c r="F80" t="inlineStr">
        <is>
          <t>SKÅNE LÄN</t>
        </is>
      </c>
      <c r="G80" t="inlineStr">
        <is>
          <t>SIMRISHAMN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46303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46303</v>
      </c>
      <c r="F82" t="inlineStr">
        <is>
          <t>SKÅNE LÄN</t>
        </is>
      </c>
      <c r="G82" t="inlineStr">
        <is>
          <t>SIMRISHAMN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46303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46303</v>
      </c>
      <c r="F84" t="inlineStr">
        <is>
          <t>SKÅNE LÄN</t>
        </is>
      </c>
      <c r="G84" t="inlineStr">
        <is>
          <t>SIMRISHAMN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18005-2026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46303</v>
      </c>
      <c r="F85" t="inlineStr">
        <is>
          <t>SKÅNE LÄN</t>
        </is>
      </c>
      <c r="G85" t="inlineStr">
        <is>
          <t>SIMRISHAMN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46303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46303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46303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46303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46303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46303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46303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46303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46303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46303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32488-2025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45838</v>
      </c>
      <c r="E96" s="1" t="n">
        <v>46303</v>
      </c>
      <c r="F96" t="inlineStr">
        <is>
          <t>SKÅNE LÄN</t>
        </is>
      </c>
      <c r="G96" t="inlineStr">
        <is>
          <t>SIMRISHAMN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46303</v>
      </c>
      <c r="F97" t="inlineStr">
        <is>
          <t>SKÅNE LÄN</t>
        </is>
      </c>
      <c r="G97" t="inlineStr">
        <is>
          <t>SIMRISHAMN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46303</v>
      </c>
      <c r="F98" t="inlineStr">
        <is>
          <t>SKÅNE LÄN</t>
        </is>
      </c>
      <c r="G98" t="inlineStr">
        <is>
          <t>SIMRISHAMN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46303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46303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46303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2026-10-08T02:04:48Z</dcterms:created>
  <dcterms:modified xmlns:dcterms="http://purl.org/dc/terms/" xmlns:xsi="http://www.w3.org/2001/XMLSchema-instance" xsi:type="dcterms:W3CDTF">2026-10-08T02:04:48Z</dcterms:modified>
</cp:coreProperties>
</file>