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45-2022</t>
        </is>
      </c>
      <c r="B2" s="1" t="n">
        <v>44564</v>
      </c>
      <c r="C2" s="1" t="n">
        <v>45657</v>
      </c>
      <c r="D2" t="inlineStr">
        <is>
          <t>SKÅNE LÄN</t>
        </is>
      </c>
      <c r="E2" t="inlineStr">
        <is>
          <t>SIMRISHAMN</t>
        </is>
      </c>
      <c r="F2" t="inlineStr">
        <is>
          <t>Övriga Aktiebolag</t>
        </is>
      </c>
      <c r="G2" t="n">
        <v>7.2</v>
      </c>
      <c r="H2" t="n">
        <v>0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5</v>
      </c>
      <c r="R2" s="2" t="inlineStr">
        <is>
          <t>Bokvårtlav
Lunglav
Mjukdån
Småjungfrukam
Stor knopplav</t>
        </is>
      </c>
      <c r="S2">
        <f>HYPERLINK("https://klasma.github.io/Logging_1291/artfynd/A 45-2022 artfynd.xlsx", "A 45-2022")</f>
        <v/>
      </c>
      <c r="T2">
        <f>HYPERLINK("https://klasma.github.io/Logging_1291/kartor/A 45-2022 karta.png", "A 45-2022")</f>
        <v/>
      </c>
      <c r="V2">
        <f>HYPERLINK("https://klasma.github.io/Logging_1291/klagomål/A 45-2022 FSC-klagomål.docx", "A 45-2022")</f>
        <v/>
      </c>
      <c r="W2">
        <f>HYPERLINK("https://klasma.github.io/Logging_1291/klagomålsmail/A 45-2022 FSC-klagomål mail.docx", "A 45-2022")</f>
        <v/>
      </c>
      <c r="X2">
        <f>HYPERLINK("https://klasma.github.io/Logging_1291/tillsyn/A 45-2022 tillsynsbegäran.docx", "A 45-2022")</f>
        <v/>
      </c>
      <c r="Y2">
        <f>HYPERLINK("https://klasma.github.io/Logging_1291/tillsynsmail/A 45-2022 tillsynsbegäran mail.docx", "A 45-2022")</f>
        <v/>
      </c>
    </row>
    <row r="3" ht="15" customHeight="1">
      <c r="A3" t="inlineStr">
        <is>
          <t>A 18589-2022</t>
        </is>
      </c>
      <c r="B3" s="1" t="n">
        <v>44687</v>
      </c>
      <c r="C3" s="1" t="n">
        <v>45657</v>
      </c>
      <c r="D3" t="inlineStr">
        <is>
          <t>SKÅNE LÄN</t>
        </is>
      </c>
      <c r="E3" t="inlineStr">
        <is>
          <t>SIMRISHAMN</t>
        </is>
      </c>
      <c r="G3" t="n">
        <v>2.5</v>
      </c>
      <c r="H3" t="n">
        <v>1</v>
      </c>
      <c r="I3" t="n">
        <v>0</v>
      </c>
      <c r="J3" t="n">
        <v>2</v>
      </c>
      <c r="K3" t="n">
        <v>1</v>
      </c>
      <c r="L3" t="n">
        <v>1</v>
      </c>
      <c r="M3" t="n">
        <v>1</v>
      </c>
      <c r="N3" t="n">
        <v>0</v>
      </c>
      <c r="O3" t="n">
        <v>5</v>
      </c>
      <c r="P3" t="n">
        <v>3</v>
      </c>
      <c r="Q3" t="n">
        <v>5</v>
      </c>
      <c r="R3" s="2" t="inlineStr">
        <is>
          <t>Skogsalm
Ask
Backsippa
Sminkrot
Åkerkulla</t>
        </is>
      </c>
      <c r="S3">
        <f>HYPERLINK("https://klasma.github.io/Logging_1291/artfynd/A 18589-2022 artfynd.xlsx", "A 18589-2022")</f>
        <v/>
      </c>
      <c r="T3">
        <f>HYPERLINK("https://klasma.github.io/Logging_1291/kartor/A 18589-2022 karta.png", "A 18589-2022")</f>
        <v/>
      </c>
      <c r="V3">
        <f>HYPERLINK("https://klasma.github.io/Logging_1291/klagomål/A 18589-2022 FSC-klagomål.docx", "A 18589-2022")</f>
        <v/>
      </c>
      <c r="W3">
        <f>HYPERLINK("https://klasma.github.io/Logging_1291/klagomålsmail/A 18589-2022 FSC-klagomål mail.docx", "A 18589-2022")</f>
        <v/>
      </c>
      <c r="X3">
        <f>HYPERLINK("https://klasma.github.io/Logging_1291/tillsyn/A 18589-2022 tillsynsbegäran.docx", "A 18589-2022")</f>
        <v/>
      </c>
      <c r="Y3">
        <f>HYPERLINK("https://klasma.github.io/Logging_1291/tillsynsmail/A 18589-2022 tillsynsbegäran mail.docx", "A 18589-2022")</f>
        <v/>
      </c>
    </row>
    <row r="4" ht="15" customHeight="1">
      <c r="A4" t="inlineStr">
        <is>
          <t>A 19986-2019</t>
        </is>
      </c>
      <c r="B4" s="1" t="n">
        <v>43567</v>
      </c>
      <c r="C4" s="1" t="n">
        <v>45657</v>
      </c>
      <c r="D4" t="inlineStr">
        <is>
          <t>SKÅNE LÄN</t>
        </is>
      </c>
      <c r="E4" t="inlineStr">
        <is>
          <t>SIMRISHAMN</t>
        </is>
      </c>
      <c r="G4" t="n">
        <v>2</v>
      </c>
      <c r="H4" t="n">
        <v>1</v>
      </c>
      <c r="I4" t="n">
        <v>1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4</v>
      </c>
      <c r="R4" s="2" t="inlineStr">
        <is>
          <t>Småvänderot
Majviva
Axag
Gullviva</t>
        </is>
      </c>
      <c r="S4">
        <f>HYPERLINK("https://klasma.github.io/Logging_1291/artfynd/A 19986-2019 artfynd.xlsx", "A 19986-2019")</f>
        <v/>
      </c>
      <c r="T4">
        <f>HYPERLINK("https://klasma.github.io/Logging_1291/kartor/A 19986-2019 karta.png", "A 19986-2019")</f>
        <v/>
      </c>
      <c r="V4">
        <f>HYPERLINK("https://klasma.github.io/Logging_1291/klagomål/A 19986-2019 FSC-klagomål.docx", "A 19986-2019")</f>
        <v/>
      </c>
      <c r="W4">
        <f>HYPERLINK("https://klasma.github.io/Logging_1291/klagomålsmail/A 19986-2019 FSC-klagomål mail.docx", "A 19986-2019")</f>
        <v/>
      </c>
      <c r="X4">
        <f>HYPERLINK("https://klasma.github.io/Logging_1291/tillsyn/A 19986-2019 tillsynsbegäran.docx", "A 19986-2019")</f>
        <v/>
      </c>
      <c r="Y4">
        <f>HYPERLINK("https://klasma.github.io/Logging_1291/tillsynsmail/A 19986-2019 tillsynsbegäran mail.docx", "A 19986-2019")</f>
        <v/>
      </c>
    </row>
    <row r="5" ht="15" customHeight="1">
      <c r="A5" t="inlineStr">
        <is>
          <t>A 27430-2024</t>
        </is>
      </c>
      <c r="B5" s="1" t="n">
        <v>45474</v>
      </c>
      <c r="C5" s="1" t="n">
        <v>45657</v>
      </c>
      <c r="D5" t="inlineStr">
        <is>
          <t>SKÅNE LÄN</t>
        </is>
      </c>
      <c r="E5" t="inlineStr">
        <is>
          <t>SIMRISHAMN</t>
        </is>
      </c>
      <c r="G5" t="n">
        <v>3.9</v>
      </c>
      <c r="H5" t="n">
        <v>1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Bokoxe
Rostfläck</t>
        </is>
      </c>
      <c r="S5">
        <f>HYPERLINK("https://klasma.github.io/Logging_1291/artfynd/A 27430-2024 artfynd.xlsx", "A 27430-2024")</f>
        <v/>
      </c>
      <c r="T5">
        <f>HYPERLINK("https://klasma.github.io/Logging_1291/kartor/A 27430-2024 karta.png", "A 27430-2024")</f>
        <v/>
      </c>
      <c r="V5">
        <f>HYPERLINK("https://klasma.github.io/Logging_1291/klagomål/A 27430-2024 FSC-klagomål.docx", "A 27430-2024")</f>
        <v/>
      </c>
      <c r="W5">
        <f>HYPERLINK("https://klasma.github.io/Logging_1291/klagomålsmail/A 27430-2024 FSC-klagomål mail.docx", "A 27430-2024")</f>
        <v/>
      </c>
      <c r="X5">
        <f>HYPERLINK("https://klasma.github.io/Logging_1291/tillsyn/A 27430-2024 tillsynsbegäran.docx", "A 27430-2024")</f>
        <v/>
      </c>
      <c r="Y5">
        <f>HYPERLINK("https://klasma.github.io/Logging_1291/tillsynsmail/A 27430-2024 tillsynsbegäran mail.docx", "A 27430-2024")</f>
        <v/>
      </c>
      <c r="Z5">
        <f>HYPERLINK("https://klasma.github.io/Logging_1291/fåglar/A 27430-2024 prioriterade fågelarter.docx", "A 27430-2024")</f>
        <v/>
      </c>
    </row>
    <row r="6" ht="15" customHeight="1">
      <c r="A6" t="inlineStr">
        <is>
          <t>A 39121-2021</t>
        </is>
      </c>
      <c r="B6" s="1" t="n">
        <v>44412</v>
      </c>
      <c r="C6" s="1" t="n">
        <v>45657</v>
      </c>
      <c r="D6" t="inlineStr">
        <is>
          <t>SKÅNE LÄN</t>
        </is>
      </c>
      <c r="E6" t="inlineStr">
        <is>
          <t>SIMRISHAMN</t>
        </is>
      </c>
      <c r="G6" t="n">
        <v>1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Lövgroda
Större vattensalamander</t>
        </is>
      </c>
      <c r="S6">
        <f>HYPERLINK("https://klasma.github.io/Logging_1291/artfynd/A 39121-2021 artfynd.xlsx", "A 39121-2021")</f>
        <v/>
      </c>
      <c r="T6">
        <f>HYPERLINK("https://klasma.github.io/Logging_1291/kartor/A 39121-2021 karta.png", "A 39121-2021")</f>
        <v/>
      </c>
      <c r="V6">
        <f>HYPERLINK("https://klasma.github.io/Logging_1291/klagomål/A 39121-2021 FSC-klagomål.docx", "A 39121-2021")</f>
        <v/>
      </c>
      <c r="W6">
        <f>HYPERLINK("https://klasma.github.io/Logging_1291/klagomålsmail/A 39121-2021 FSC-klagomål mail.docx", "A 39121-2021")</f>
        <v/>
      </c>
      <c r="X6">
        <f>HYPERLINK("https://klasma.github.io/Logging_1291/tillsyn/A 39121-2021 tillsynsbegäran.docx", "A 39121-2021")</f>
        <v/>
      </c>
      <c r="Y6">
        <f>HYPERLINK("https://klasma.github.io/Logging_1291/tillsynsmail/A 39121-2021 tillsynsbegäran mail.docx", "A 39121-2021")</f>
        <v/>
      </c>
    </row>
    <row r="7" ht="15" customHeight="1">
      <c r="A7" t="inlineStr">
        <is>
          <t>A 55072-2022</t>
        </is>
      </c>
      <c r="B7" s="1" t="n">
        <v>44886</v>
      </c>
      <c r="C7" s="1" t="n">
        <v>45657</v>
      </c>
      <c r="D7" t="inlineStr">
        <is>
          <t>SKÅNE LÄN</t>
        </is>
      </c>
      <c r="E7" t="inlineStr">
        <is>
          <t>SIMRISHAMN</t>
        </is>
      </c>
      <c r="F7" t="inlineStr">
        <is>
          <t>Sveaskog</t>
        </is>
      </c>
      <c r="G7" t="n">
        <v>7.3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Murgröna
Gullviva</t>
        </is>
      </c>
      <c r="S7">
        <f>HYPERLINK("https://klasma.github.io/Logging_1291/artfynd/A 55072-2022 artfynd.xlsx", "A 55072-2022")</f>
        <v/>
      </c>
      <c r="T7">
        <f>HYPERLINK("https://klasma.github.io/Logging_1291/kartor/A 55072-2022 karta.png", "A 55072-2022")</f>
        <v/>
      </c>
      <c r="V7">
        <f>HYPERLINK("https://klasma.github.io/Logging_1291/klagomål/A 55072-2022 FSC-klagomål.docx", "A 55072-2022")</f>
        <v/>
      </c>
      <c r="W7">
        <f>HYPERLINK("https://klasma.github.io/Logging_1291/klagomålsmail/A 55072-2022 FSC-klagomål mail.docx", "A 55072-2022")</f>
        <v/>
      </c>
      <c r="X7">
        <f>HYPERLINK("https://klasma.github.io/Logging_1291/tillsyn/A 55072-2022 tillsynsbegäran.docx", "A 55072-2022")</f>
        <v/>
      </c>
      <c r="Y7">
        <f>HYPERLINK("https://klasma.github.io/Logging_1291/tillsynsmail/A 55072-2022 tillsynsbegäran mail.docx", "A 55072-2022")</f>
        <v/>
      </c>
    </row>
    <row r="8" ht="15" customHeight="1">
      <c r="A8" t="inlineStr">
        <is>
          <t>A 34756-2020</t>
        </is>
      </c>
      <c r="B8" s="1" t="n">
        <v>44035</v>
      </c>
      <c r="C8" s="1" t="n">
        <v>45657</v>
      </c>
      <c r="D8" t="inlineStr">
        <is>
          <t>SKÅNE LÄN</t>
        </is>
      </c>
      <c r="E8" t="inlineStr">
        <is>
          <t>SIMRISHAMN</t>
        </is>
      </c>
      <c r="G8" t="n">
        <v>4.3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HYPERLINK("https://klasma.github.io/Logging_1291/artfynd/A 34756-2020 artfynd.xlsx", "A 34756-2020")</f>
        <v/>
      </c>
      <c r="T8">
        <f>HYPERLINK("https://klasma.github.io/Logging_1291/kartor/A 34756-2020 karta.png", "A 34756-2020")</f>
        <v/>
      </c>
      <c r="V8">
        <f>HYPERLINK("https://klasma.github.io/Logging_1291/klagomål/A 34756-2020 FSC-klagomål.docx", "A 34756-2020")</f>
        <v/>
      </c>
      <c r="W8">
        <f>HYPERLINK("https://klasma.github.io/Logging_1291/klagomålsmail/A 34756-2020 FSC-klagomål mail.docx", "A 34756-2020")</f>
        <v/>
      </c>
      <c r="X8">
        <f>HYPERLINK("https://klasma.github.io/Logging_1291/tillsyn/A 34756-2020 tillsynsbegäran.docx", "A 34756-2020")</f>
        <v/>
      </c>
      <c r="Y8">
        <f>HYPERLINK("https://klasma.github.io/Logging_1291/tillsynsmail/A 34756-2020 tillsynsbegäran mail.docx", "A 34756-2020")</f>
        <v/>
      </c>
    </row>
    <row r="9" ht="15" customHeight="1">
      <c r="A9" t="inlineStr">
        <is>
          <t>A 45802-2022</t>
        </is>
      </c>
      <c r="B9" s="1" t="n">
        <v>44844</v>
      </c>
      <c r="C9" s="1" t="n">
        <v>45657</v>
      </c>
      <c r="D9" t="inlineStr">
        <is>
          <t>SKÅNE LÄN</t>
        </is>
      </c>
      <c r="E9" t="inlineStr">
        <is>
          <t>SIMRISHAMN</t>
        </is>
      </c>
      <c r="G9" t="n">
        <v>1.2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Hartsticka</t>
        </is>
      </c>
      <c r="S9">
        <f>HYPERLINK("https://klasma.github.io/Logging_1291/artfynd/A 45802-2022 artfynd.xlsx", "A 45802-2022")</f>
        <v/>
      </c>
      <c r="T9">
        <f>HYPERLINK("https://klasma.github.io/Logging_1291/kartor/A 45802-2022 karta.png", "A 45802-2022")</f>
        <v/>
      </c>
      <c r="V9">
        <f>HYPERLINK("https://klasma.github.io/Logging_1291/klagomål/A 45802-2022 FSC-klagomål.docx", "A 45802-2022")</f>
        <v/>
      </c>
      <c r="W9">
        <f>HYPERLINK("https://klasma.github.io/Logging_1291/klagomålsmail/A 45802-2022 FSC-klagomål mail.docx", "A 45802-2022")</f>
        <v/>
      </c>
      <c r="X9">
        <f>HYPERLINK("https://klasma.github.io/Logging_1291/tillsyn/A 45802-2022 tillsynsbegäran.docx", "A 45802-2022")</f>
        <v/>
      </c>
      <c r="Y9">
        <f>HYPERLINK("https://klasma.github.io/Logging_1291/tillsynsmail/A 45802-2022 tillsynsbegäran mail.docx", "A 45802-2022")</f>
        <v/>
      </c>
    </row>
    <row r="10" ht="15" customHeight="1">
      <c r="A10" t="inlineStr">
        <is>
          <t>A 951-2024</t>
        </is>
      </c>
      <c r="B10" s="1" t="n">
        <v>45301</v>
      </c>
      <c r="C10" s="1" t="n">
        <v>45657</v>
      </c>
      <c r="D10" t="inlineStr">
        <is>
          <t>SKÅNE LÄN</t>
        </is>
      </c>
      <c r="E10" t="inlineStr">
        <is>
          <t>SIMRISHAMN</t>
        </is>
      </c>
      <c r="F10" t="inlineStr">
        <is>
          <t>Övriga Aktiebolag</t>
        </is>
      </c>
      <c r="G10" t="n">
        <v>28.1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Dvärgpipistrell</t>
        </is>
      </c>
      <c r="S10">
        <f>HYPERLINK("https://klasma.github.io/Logging_1291/artfynd/A 951-2024 artfynd.xlsx", "A 951-2024")</f>
        <v/>
      </c>
      <c r="T10">
        <f>HYPERLINK("https://klasma.github.io/Logging_1291/kartor/A 951-2024 karta.png", "A 951-2024")</f>
        <v/>
      </c>
      <c r="V10">
        <f>HYPERLINK("https://klasma.github.io/Logging_1291/klagomål/A 951-2024 FSC-klagomål.docx", "A 951-2024")</f>
        <v/>
      </c>
      <c r="W10">
        <f>HYPERLINK("https://klasma.github.io/Logging_1291/klagomålsmail/A 951-2024 FSC-klagomål mail.docx", "A 951-2024")</f>
        <v/>
      </c>
      <c r="X10">
        <f>HYPERLINK("https://klasma.github.io/Logging_1291/tillsyn/A 951-2024 tillsynsbegäran.docx", "A 951-2024")</f>
        <v/>
      </c>
      <c r="Y10">
        <f>HYPERLINK("https://klasma.github.io/Logging_1291/tillsynsmail/A 951-2024 tillsynsbegäran mail.docx", "A 951-2024")</f>
        <v/>
      </c>
    </row>
    <row r="11" ht="15" customHeight="1">
      <c r="A11" t="inlineStr">
        <is>
          <t>A 3401-2024</t>
        </is>
      </c>
      <c r="B11" s="1" t="n">
        <v>45318</v>
      </c>
      <c r="C11" s="1" t="n">
        <v>45657</v>
      </c>
      <c r="D11" t="inlineStr">
        <is>
          <t>SKÅNE LÄN</t>
        </is>
      </c>
      <c r="E11" t="inlineStr">
        <is>
          <t>SIMRISHAMN</t>
        </is>
      </c>
      <c r="G11" t="n">
        <v>6.8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Borsttåg</t>
        </is>
      </c>
      <c r="S11">
        <f>HYPERLINK("https://klasma.github.io/Logging_1291/artfynd/A 3401-2024 artfynd.xlsx", "A 3401-2024")</f>
        <v/>
      </c>
      <c r="T11">
        <f>HYPERLINK("https://klasma.github.io/Logging_1291/kartor/A 3401-2024 karta.png", "A 3401-2024")</f>
        <v/>
      </c>
      <c r="V11">
        <f>HYPERLINK("https://klasma.github.io/Logging_1291/klagomål/A 3401-2024 FSC-klagomål.docx", "A 3401-2024")</f>
        <v/>
      </c>
      <c r="W11">
        <f>HYPERLINK("https://klasma.github.io/Logging_1291/klagomålsmail/A 3401-2024 FSC-klagomål mail.docx", "A 3401-2024")</f>
        <v/>
      </c>
      <c r="X11">
        <f>HYPERLINK("https://klasma.github.io/Logging_1291/tillsyn/A 3401-2024 tillsynsbegäran.docx", "A 3401-2024")</f>
        <v/>
      </c>
      <c r="Y11">
        <f>HYPERLINK("https://klasma.github.io/Logging_1291/tillsynsmail/A 3401-2024 tillsynsbegäran mail.docx", "A 3401-2024")</f>
        <v/>
      </c>
    </row>
    <row r="12" ht="15" customHeight="1">
      <c r="A12" t="inlineStr">
        <is>
          <t>A 20090-2024</t>
        </is>
      </c>
      <c r="B12" s="1" t="n">
        <v>45434</v>
      </c>
      <c r="C12" s="1" t="n">
        <v>45657</v>
      </c>
      <c r="D12" t="inlineStr">
        <is>
          <t>SKÅNE LÄN</t>
        </is>
      </c>
      <c r="E12" t="inlineStr">
        <is>
          <t>SIMRISHAMN</t>
        </is>
      </c>
      <c r="G12" t="n">
        <v>2.4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Hasselmus</t>
        </is>
      </c>
      <c r="S12">
        <f>HYPERLINK("https://klasma.github.io/Logging_1291/artfynd/A 20090-2024 artfynd.xlsx", "A 20090-2024")</f>
        <v/>
      </c>
      <c r="T12">
        <f>HYPERLINK("https://klasma.github.io/Logging_1291/kartor/A 20090-2024 karta.png", "A 20090-2024")</f>
        <v/>
      </c>
      <c r="V12">
        <f>HYPERLINK("https://klasma.github.io/Logging_1291/klagomål/A 20090-2024 FSC-klagomål.docx", "A 20090-2024")</f>
        <v/>
      </c>
      <c r="W12">
        <f>HYPERLINK("https://klasma.github.io/Logging_1291/klagomålsmail/A 20090-2024 FSC-klagomål mail.docx", "A 20090-2024")</f>
        <v/>
      </c>
      <c r="X12">
        <f>HYPERLINK("https://klasma.github.io/Logging_1291/tillsyn/A 20090-2024 tillsynsbegäran.docx", "A 20090-2024")</f>
        <v/>
      </c>
      <c r="Y12">
        <f>HYPERLINK("https://klasma.github.io/Logging_1291/tillsynsmail/A 20090-2024 tillsynsbegäran mail.docx", "A 20090-2024")</f>
        <v/>
      </c>
    </row>
    <row r="13" ht="15" customHeight="1">
      <c r="A13" t="inlineStr">
        <is>
          <t>A 21589-2019</t>
        </is>
      </c>
      <c r="B13" s="1" t="n">
        <v>43580</v>
      </c>
      <c r="C13" s="1" t="n">
        <v>45657</v>
      </c>
      <c r="D13" t="inlineStr">
        <is>
          <t>SKÅNE LÄN</t>
        </is>
      </c>
      <c r="E13" t="inlineStr">
        <is>
          <t>SIMRISHAMN</t>
        </is>
      </c>
      <c r="G13" t="n">
        <v>0.9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26650-2019</t>
        </is>
      </c>
      <c r="B14" s="1" t="n">
        <v>43613</v>
      </c>
      <c r="C14" s="1" t="n">
        <v>45657</v>
      </c>
      <c r="D14" t="inlineStr">
        <is>
          <t>SKÅNE LÄN</t>
        </is>
      </c>
      <c r="E14" t="inlineStr">
        <is>
          <t>SIMRISHAMN</t>
        </is>
      </c>
      <c r="F14" t="inlineStr">
        <is>
          <t>Övriga Aktiebolag</t>
        </is>
      </c>
      <c r="G14" t="n">
        <v>3.5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46897-2019</t>
        </is>
      </c>
      <c r="B15" s="1" t="n">
        <v>43720</v>
      </c>
      <c r="C15" s="1" t="n">
        <v>45657</v>
      </c>
      <c r="D15" t="inlineStr">
        <is>
          <t>SKÅNE LÄN</t>
        </is>
      </c>
      <c r="E15" t="inlineStr">
        <is>
          <t>SIMRISHAMN</t>
        </is>
      </c>
      <c r="G15" t="n">
        <v>10.6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51338-2019</t>
        </is>
      </c>
      <c r="B16" s="1" t="n">
        <v>43740</v>
      </c>
      <c r="C16" s="1" t="n">
        <v>45657</v>
      </c>
      <c r="D16" t="inlineStr">
        <is>
          <t>SKÅNE LÄN</t>
        </is>
      </c>
      <c r="E16" t="inlineStr">
        <is>
          <t>SIMRISHAMN</t>
        </is>
      </c>
      <c r="F16" t="inlineStr">
        <is>
          <t>Övriga Aktiebolag</t>
        </is>
      </c>
      <c r="G16" t="n">
        <v>6.1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58202-2019</t>
        </is>
      </c>
      <c r="B17" s="1" t="n">
        <v>43770</v>
      </c>
      <c r="C17" s="1" t="n">
        <v>45657</v>
      </c>
      <c r="D17" t="inlineStr">
        <is>
          <t>SKÅNE LÄN</t>
        </is>
      </c>
      <c r="E17" t="inlineStr">
        <is>
          <t>SIMRISHAMN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58885-2019</t>
        </is>
      </c>
      <c r="B18" s="1" t="n">
        <v>43773</v>
      </c>
      <c r="C18" s="1" t="n">
        <v>45657</v>
      </c>
      <c r="D18" t="inlineStr">
        <is>
          <t>SKÅNE LÄN</t>
        </is>
      </c>
      <c r="E18" t="inlineStr">
        <is>
          <t>SIMRISHAMN</t>
        </is>
      </c>
      <c r="G18" t="n">
        <v>4.7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1315-2020</t>
        </is>
      </c>
      <c r="B19" s="1" t="n">
        <v>43822</v>
      </c>
      <c r="C19" s="1" t="n">
        <v>45657</v>
      </c>
      <c r="D19" t="inlineStr">
        <is>
          <t>SKÅNE LÄN</t>
        </is>
      </c>
      <c r="E19" t="inlineStr">
        <is>
          <t>SIMRISHAMN</t>
        </is>
      </c>
      <c r="G19" t="n">
        <v>2.7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13660-2020</t>
        </is>
      </c>
      <c r="B20" s="1" t="n">
        <v>43896</v>
      </c>
      <c r="C20" s="1" t="n">
        <v>45657</v>
      </c>
      <c r="D20" t="inlineStr">
        <is>
          <t>SKÅNE LÄN</t>
        </is>
      </c>
      <c r="E20" t="inlineStr">
        <is>
          <t>SIMRISHAMN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14148-2020</t>
        </is>
      </c>
      <c r="B21" s="1" t="n">
        <v>43907</v>
      </c>
      <c r="C21" s="1" t="n">
        <v>45657</v>
      </c>
      <c r="D21" t="inlineStr">
        <is>
          <t>SKÅNE LÄN</t>
        </is>
      </c>
      <c r="E21" t="inlineStr">
        <is>
          <t>SIMRISHAMN</t>
        </is>
      </c>
      <c r="F21" t="inlineStr">
        <is>
          <t>Övriga Aktiebolag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14107-2020</t>
        </is>
      </c>
      <c r="B22" s="1" t="n">
        <v>43907</v>
      </c>
      <c r="C22" s="1" t="n">
        <v>45657</v>
      </c>
      <c r="D22" t="inlineStr">
        <is>
          <t>SKÅNE LÄN</t>
        </is>
      </c>
      <c r="E22" t="inlineStr">
        <is>
          <t>SIMRISHAMN</t>
        </is>
      </c>
      <c r="F22" t="inlineStr">
        <is>
          <t>Övriga Aktiebolag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22732-2020</t>
        </is>
      </c>
      <c r="B23" s="1" t="n">
        <v>43963</v>
      </c>
      <c r="C23" s="1" t="n">
        <v>45657</v>
      </c>
      <c r="D23" t="inlineStr">
        <is>
          <t>SKÅNE LÄN</t>
        </is>
      </c>
      <c r="E23" t="inlineStr">
        <is>
          <t>SIMRISHAMN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3375-2021</t>
        </is>
      </c>
      <c r="B24" s="1" t="n">
        <v>44218</v>
      </c>
      <c r="C24" s="1" t="n">
        <v>45657</v>
      </c>
      <c r="D24" t="inlineStr">
        <is>
          <t>SKÅNE LÄN</t>
        </is>
      </c>
      <c r="E24" t="inlineStr">
        <is>
          <t>SIMRISHAMN</t>
        </is>
      </c>
      <c r="G24" t="n">
        <v>2.6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3373-2021</t>
        </is>
      </c>
      <c r="B25" s="1" t="n">
        <v>44218</v>
      </c>
      <c r="C25" s="1" t="n">
        <v>45657</v>
      </c>
      <c r="D25" t="inlineStr">
        <is>
          <t>SKÅNE LÄN</t>
        </is>
      </c>
      <c r="E25" t="inlineStr">
        <is>
          <t>SIMRISHAMN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13223-2021</t>
        </is>
      </c>
      <c r="B26" s="1" t="n">
        <v>44272</v>
      </c>
      <c r="C26" s="1" t="n">
        <v>45657</v>
      </c>
      <c r="D26" t="inlineStr">
        <is>
          <t>SKÅNE LÄN</t>
        </is>
      </c>
      <c r="E26" t="inlineStr">
        <is>
          <t>SIMRISHAMN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25881-2021</t>
        </is>
      </c>
      <c r="B27" s="1" t="n">
        <v>44344</v>
      </c>
      <c r="C27" s="1" t="n">
        <v>45657</v>
      </c>
      <c r="D27" t="inlineStr">
        <is>
          <t>SKÅNE LÄN</t>
        </is>
      </c>
      <c r="E27" t="inlineStr">
        <is>
          <t>SIMRISHAMN</t>
        </is>
      </c>
      <c r="F27" t="inlineStr">
        <is>
          <t>Övriga Aktiebolag</t>
        </is>
      </c>
      <c r="G27" t="n">
        <v>3.7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39834-2021</t>
        </is>
      </c>
      <c r="B28" s="1" t="n">
        <v>44417</v>
      </c>
      <c r="C28" s="1" t="n">
        <v>45657</v>
      </c>
      <c r="D28" t="inlineStr">
        <is>
          <t>SKÅNE LÄN</t>
        </is>
      </c>
      <c r="E28" t="inlineStr">
        <is>
          <t>SIMRISHAMN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7258-2022</t>
        </is>
      </c>
      <c r="B29" s="1" t="n">
        <v>44606</v>
      </c>
      <c r="C29" s="1" t="n">
        <v>45657</v>
      </c>
      <c r="D29" t="inlineStr">
        <is>
          <t>SKÅNE LÄN</t>
        </is>
      </c>
      <c r="E29" t="inlineStr">
        <is>
          <t>SIMRISHAMN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14994-2022</t>
        </is>
      </c>
      <c r="B30" s="1" t="n">
        <v>44657</v>
      </c>
      <c r="C30" s="1" t="n">
        <v>45657</v>
      </c>
      <c r="D30" t="inlineStr">
        <is>
          <t>SKÅNE LÄN</t>
        </is>
      </c>
      <c r="E30" t="inlineStr">
        <is>
          <t>SIMRISHAMN</t>
        </is>
      </c>
      <c r="F30" t="inlineStr">
        <is>
          <t>Övriga Aktiebolag</t>
        </is>
      </c>
      <c r="G30" t="n">
        <v>4.4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14988-2022</t>
        </is>
      </c>
      <c r="B31" s="1" t="n">
        <v>44657</v>
      </c>
      <c r="C31" s="1" t="n">
        <v>45657</v>
      </c>
      <c r="D31" t="inlineStr">
        <is>
          <t>SKÅNE LÄN</t>
        </is>
      </c>
      <c r="E31" t="inlineStr">
        <is>
          <t>SIMRISHAMN</t>
        </is>
      </c>
      <c r="F31" t="inlineStr">
        <is>
          <t>Övriga Aktiebolag</t>
        </is>
      </c>
      <c r="G31" t="n">
        <v>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18107-2022</t>
        </is>
      </c>
      <c r="B32" s="1" t="n">
        <v>44684</v>
      </c>
      <c r="C32" s="1" t="n">
        <v>45657</v>
      </c>
      <c r="D32" t="inlineStr">
        <is>
          <t>SKÅNE LÄN</t>
        </is>
      </c>
      <c r="E32" t="inlineStr">
        <is>
          <t>SIMRISHAMN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19281-2022</t>
        </is>
      </c>
      <c r="B33" s="1" t="n">
        <v>44692</v>
      </c>
      <c r="C33" s="1" t="n">
        <v>45657</v>
      </c>
      <c r="D33" t="inlineStr">
        <is>
          <t>SKÅNE LÄN</t>
        </is>
      </c>
      <c r="E33" t="inlineStr">
        <is>
          <t>SIMRISHAMN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23287-2022</t>
        </is>
      </c>
      <c r="B34" s="1" t="n">
        <v>44720</v>
      </c>
      <c r="C34" s="1" t="n">
        <v>45657</v>
      </c>
      <c r="D34" t="inlineStr">
        <is>
          <t>SKÅNE LÄN</t>
        </is>
      </c>
      <c r="E34" t="inlineStr">
        <is>
          <t>SIMRISHAMN</t>
        </is>
      </c>
      <c r="G34" t="n">
        <v>3.5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23288-2022</t>
        </is>
      </c>
      <c r="B35" s="1" t="n">
        <v>44720</v>
      </c>
      <c r="C35" s="1" t="n">
        <v>45657</v>
      </c>
      <c r="D35" t="inlineStr">
        <is>
          <t>SKÅNE LÄN</t>
        </is>
      </c>
      <c r="E35" t="inlineStr">
        <is>
          <t>SIMRISHAMN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25834-2022</t>
        </is>
      </c>
      <c r="B36" s="1" t="n">
        <v>44733</v>
      </c>
      <c r="C36" s="1" t="n">
        <v>45657</v>
      </c>
      <c r="D36" t="inlineStr">
        <is>
          <t>SKÅNE LÄN</t>
        </is>
      </c>
      <c r="E36" t="inlineStr">
        <is>
          <t>SIMRISHAMN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25816-2022</t>
        </is>
      </c>
      <c r="B37" s="1" t="n">
        <v>44733</v>
      </c>
      <c r="C37" s="1" t="n">
        <v>45657</v>
      </c>
      <c r="D37" t="inlineStr">
        <is>
          <t>SKÅNE LÄN</t>
        </is>
      </c>
      <c r="E37" t="inlineStr">
        <is>
          <t>SIMRISHAMN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25822-2022</t>
        </is>
      </c>
      <c r="B38" s="1" t="n">
        <v>44733</v>
      </c>
      <c r="C38" s="1" t="n">
        <v>45657</v>
      </c>
      <c r="D38" t="inlineStr">
        <is>
          <t>SKÅNE LÄN</t>
        </is>
      </c>
      <c r="E38" t="inlineStr">
        <is>
          <t>SIMRISHAMN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35849-2022</t>
        </is>
      </c>
      <c r="B39" s="1" t="n">
        <v>44802</v>
      </c>
      <c r="C39" s="1" t="n">
        <v>45657</v>
      </c>
      <c r="D39" t="inlineStr">
        <is>
          <t>SKÅNE LÄN</t>
        </is>
      </c>
      <c r="E39" t="inlineStr">
        <is>
          <t>SIMRISHAMN</t>
        </is>
      </c>
      <c r="G39" t="n">
        <v>5.2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42016-2022</t>
        </is>
      </c>
      <c r="B40" s="1" t="n">
        <v>44827</v>
      </c>
      <c r="C40" s="1" t="n">
        <v>45657</v>
      </c>
      <c r="D40" t="inlineStr">
        <is>
          <t>SKÅNE LÄN</t>
        </is>
      </c>
      <c r="E40" t="inlineStr">
        <is>
          <t>SIMRISHAMN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43114-2022</t>
        </is>
      </c>
      <c r="B41" s="1" t="n">
        <v>44833</v>
      </c>
      <c r="C41" s="1" t="n">
        <v>45657</v>
      </c>
      <c r="D41" t="inlineStr">
        <is>
          <t>SKÅNE LÄN</t>
        </is>
      </c>
      <c r="E41" t="inlineStr">
        <is>
          <t>SIMRISHAMN</t>
        </is>
      </c>
      <c r="F41" t="inlineStr">
        <is>
          <t>Övriga Aktiebolag</t>
        </is>
      </c>
      <c r="G41" t="n">
        <v>3.2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45946-2022</t>
        </is>
      </c>
      <c r="B42" s="1" t="n">
        <v>44845</v>
      </c>
      <c r="C42" s="1" t="n">
        <v>45657</v>
      </c>
      <c r="D42" t="inlineStr">
        <is>
          <t>SKÅNE LÄN</t>
        </is>
      </c>
      <c r="E42" t="inlineStr">
        <is>
          <t>SIMRISHAMN</t>
        </is>
      </c>
      <c r="G42" t="n">
        <v>14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53978-2022</t>
        </is>
      </c>
      <c r="B43" s="1" t="n">
        <v>44876</v>
      </c>
      <c r="C43" s="1" t="n">
        <v>45657</v>
      </c>
      <c r="D43" t="inlineStr">
        <is>
          <t>SKÅNE LÄN</t>
        </is>
      </c>
      <c r="E43" t="inlineStr">
        <is>
          <t>SIMRISHAMN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58985-2022</t>
        </is>
      </c>
      <c r="B44" s="1" t="n">
        <v>44903</v>
      </c>
      <c r="C44" s="1" t="n">
        <v>45657</v>
      </c>
      <c r="D44" t="inlineStr">
        <is>
          <t>SKÅNE LÄN</t>
        </is>
      </c>
      <c r="E44" t="inlineStr">
        <is>
          <t>SIMRISHAMN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62149-2022</t>
        </is>
      </c>
      <c r="B45" s="1" t="n">
        <v>44922</v>
      </c>
      <c r="C45" s="1" t="n">
        <v>45657</v>
      </c>
      <c r="D45" t="inlineStr">
        <is>
          <t>SKÅNE LÄN</t>
        </is>
      </c>
      <c r="E45" t="inlineStr">
        <is>
          <t>SIMRISHAMN</t>
        </is>
      </c>
      <c r="F45" t="inlineStr">
        <is>
          <t>Övriga Aktiebolag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62413-2022</t>
        </is>
      </c>
      <c r="B46" s="1" t="n">
        <v>44923</v>
      </c>
      <c r="C46" s="1" t="n">
        <v>45657</v>
      </c>
      <c r="D46" t="inlineStr">
        <is>
          <t>SKÅNE LÄN</t>
        </is>
      </c>
      <c r="E46" t="inlineStr">
        <is>
          <t>SIMRISHAMN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62412-2022</t>
        </is>
      </c>
      <c r="B47" s="1" t="n">
        <v>44924</v>
      </c>
      <c r="C47" s="1" t="n">
        <v>45657</v>
      </c>
      <c r="D47" t="inlineStr">
        <is>
          <t>SKÅNE LÄN</t>
        </is>
      </c>
      <c r="E47" t="inlineStr">
        <is>
          <t>SIMRISHAMN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1505-2023</t>
        </is>
      </c>
      <c r="B48" s="1" t="n">
        <v>44937</v>
      </c>
      <c r="C48" s="1" t="n">
        <v>45657</v>
      </c>
      <c r="D48" t="inlineStr">
        <is>
          <t>SKÅNE LÄN</t>
        </is>
      </c>
      <c r="E48" t="inlineStr">
        <is>
          <t>SIMRISHAMN</t>
        </is>
      </c>
      <c r="F48" t="inlineStr">
        <is>
          <t>Övriga Aktiebolag</t>
        </is>
      </c>
      <c r="G48" t="n">
        <v>8.6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2554-2023</t>
        </is>
      </c>
      <c r="B49" s="1" t="n">
        <v>44943</v>
      </c>
      <c r="C49" s="1" t="n">
        <v>45657</v>
      </c>
      <c r="D49" t="inlineStr">
        <is>
          <t>SKÅNE LÄN</t>
        </is>
      </c>
      <c r="E49" t="inlineStr">
        <is>
          <t>SIMRISHAMN</t>
        </is>
      </c>
      <c r="G49" t="n">
        <v>0.1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7340-2023</t>
        </is>
      </c>
      <c r="B50" s="1" t="n">
        <v>44971</v>
      </c>
      <c r="C50" s="1" t="n">
        <v>45657</v>
      </c>
      <c r="D50" t="inlineStr">
        <is>
          <t>SKÅNE LÄN</t>
        </is>
      </c>
      <c r="E50" t="inlineStr">
        <is>
          <t>SIMRISHAMN</t>
        </is>
      </c>
      <c r="G50" t="n">
        <v>4.8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8721-2023</t>
        </is>
      </c>
      <c r="B51" s="1" t="n">
        <v>44978</v>
      </c>
      <c r="C51" s="1" t="n">
        <v>45657</v>
      </c>
      <c r="D51" t="inlineStr">
        <is>
          <t>SKÅNE LÄN</t>
        </is>
      </c>
      <c r="E51" t="inlineStr">
        <is>
          <t>SIMRISHAMN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18682-2023</t>
        </is>
      </c>
      <c r="B52" s="1" t="n">
        <v>45043</v>
      </c>
      <c r="C52" s="1" t="n">
        <v>45657</v>
      </c>
      <c r="D52" t="inlineStr">
        <is>
          <t>SKÅNE LÄN</t>
        </is>
      </c>
      <c r="E52" t="inlineStr">
        <is>
          <t>SIMRISHAMN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20950-2023</t>
        </is>
      </c>
      <c r="B53" s="1" t="n">
        <v>45061</v>
      </c>
      <c r="C53" s="1" t="n">
        <v>45657</v>
      </c>
      <c r="D53" t="inlineStr">
        <is>
          <t>SKÅNE LÄN</t>
        </is>
      </c>
      <c r="E53" t="inlineStr">
        <is>
          <t>SIMRISHAMN</t>
        </is>
      </c>
      <c r="G53" t="n">
        <v>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22194-2023</t>
        </is>
      </c>
      <c r="B54" s="1" t="n">
        <v>45069</v>
      </c>
      <c r="C54" s="1" t="n">
        <v>45657</v>
      </c>
      <c r="D54" t="inlineStr">
        <is>
          <t>SKÅNE LÄN</t>
        </is>
      </c>
      <c r="E54" t="inlineStr">
        <is>
          <t>SIMRISHAMN</t>
        </is>
      </c>
      <c r="F54" t="inlineStr">
        <is>
          <t>Övriga Aktiebolag</t>
        </is>
      </c>
      <c r="G54" t="n">
        <v>11.4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25475-2023</t>
        </is>
      </c>
      <c r="B55" s="1" t="n">
        <v>45089</v>
      </c>
      <c r="C55" s="1" t="n">
        <v>45657</v>
      </c>
      <c r="D55" t="inlineStr">
        <is>
          <t>SKÅNE LÄN</t>
        </is>
      </c>
      <c r="E55" t="inlineStr">
        <is>
          <t>SIMRISHAMN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26471-2023</t>
        </is>
      </c>
      <c r="B56" s="1" t="n">
        <v>45092</v>
      </c>
      <c r="C56" s="1" t="n">
        <v>45657</v>
      </c>
      <c r="D56" t="inlineStr">
        <is>
          <t>SKÅNE LÄN</t>
        </is>
      </c>
      <c r="E56" t="inlineStr">
        <is>
          <t>SIMRISHAMN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28914-2023</t>
        </is>
      </c>
      <c r="B57" s="1" t="n">
        <v>45104</v>
      </c>
      <c r="C57" s="1" t="n">
        <v>45657</v>
      </c>
      <c r="D57" t="inlineStr">
        <is>
          <t>SKÅNE LÄN</t>
        </is>
      </c>
      <c r="E57" t="inlineStr">
        <is>
          <t>SIMRISHAMN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30667-2023</t>
        </is>
      </c>
      <c r="B58" s="1" t="n">
        <v>45112</v>
      </c>
      <c r="C58" s="1" t="n">
        <v>45657</v>
      </c>
      <c r="D58" t="inlineStr">
        <is>
          <t>SKÅNE LÄN</t>
        </is>
      </c>
      <c r="E58" t="inlineStr">
        <is>
          <t>SIMRISHAMN</t>
        </is>
      </c>
      <c r="F58" t="inlineStr">
        <is>
          <t>Övriga Aktiebolag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31710-2023</t>
        </is>
      </c>
      <c r="B59" s="1" t="n">
        <v>45117</v>
      </c>
      <c r="C59" s="1" t="n">
        <v>45657</v>
      </c>
      <c r="D59" t="inlineStr">
        <is>
          <t>SKÅNE LÄN</t>
        </is>
      </c>
      <c r="E59" t="inlineStr">
        <is>
          <t>SIMRISHAMN</t>
        </is>
      </c>
      <c r="F59" t="inlineStr">
        <is>
          <t>Övriga Aktiebolag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39015-2023</t>
        </is>
      </c>
      <c r="B60" s="1" t="n">
        <v>45162</v>
      </c>
      <c r="C60" s="1" t="n">
        <v>45657</v>
      </c>
      <c r="D60" t="inlineStr">
        <is>
          <t>SKÅNE LÄN</t>
        </is>
      </c>
      <c r="E60" t="inlineStr">
        <is>
          <t>SIMRISHAMN</t>
        </is>
      </c>
      <c r="G60" t="n">
        <v>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39221-2023</t>
        </is>
      </c>
      <c r="B61" s="1" t="n">
        <v>45162</v>
      </c>
      <c r="C61" s="1" t="n">
        <v>45657</v>
      </c>
      <c r="D61" t="inlineStr">
        <is>
          <t>SKÅNE LÄN</t>
        </is>
      </c>
      <c r="E61" t="inlineStr">
        <is>
          <t>SIMRISHAMN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39238-2023</t>
        </is>
      </c>
      <c r="B62" s="1" t="n">
        <v>45162</v>
      </c>
      <c r="C62" s="1" t="n">
        <v>45657</v>
      </c>
      <c r="D62" t="inlineStr">
        <is>
          <t>SKÅNE LÄN</t>
        </is>
      </c>
      <c r="E62" t="inlineStr">
        <is>
          <t>SIMRISHAMN</t>
        </is>
      </c>
      <c r="G62" t="n">
        <v>4.2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42231-2023</t>
        </is>
      </c>
      <c r="B63" s="1" t="n">
        <v>45180</v>
      </c>
      <c r="C63" s="1" t="n">
        <v>45657</v>
      </c>
      <c r="D63" t="inlineStr">
        <is>
          <t>SKÅNE LÄN</t>
        </is>
      </c>
      <c r="E63" t="inlineStr">
        <is>
          <t>SIMRISHAMN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42374-2023</t>
        </is>
      </c>
      <c r="B64" s="1" t="n">
        <v>45180</v>
      </c>
      <c r="C64" s="1" t="n">
        <v>45657</v>
      </c>
      <c r="D64" t="inlineStr">
        <is>
          <t>SKÅNE LÄN</t>
        </is>
      </c>
      <c r="E64" t="inlineStr">
        <is>
          <t>SIMRISHAMN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43792-2023</t>
        </is>
      </c>
      <c r="B65" s="1" t="n">
        <v>45187</v>
      </c>
      <c r="C65" s="1" t="n">
        <v>45657</v>
      </c>
      <c r="D65" t="inlineStr">
        <is>
          <t>SKÅNE LÄN</t>
        </is>
      </c>
      <c r="E65" t="inlineStr">
        <is>
          <t>SIMRISHAMN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44934-2023</t>
        </is>
      </c>
      <c r="B66" s="1" t="n">
        <v>45190</v>
      </c>
      <c r="C66" s="1" t="n">
        <v>45657</v>
      </c>
      <c r="D66" t="inlineStr">
        <is>
          <t>SKÅNE LÄN</t>
        </is>
      </c>
      <c r="E66" t="inlineStr">
        <is>
          <t>SIMRISHAMN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47874-2023</t>
        </is>
      </c>
      <c r="B67" s="1" t="n">
        <v>45204</v>
      </c>
      <c r="C67" s="1" t="n">
        <v>45657</v>
      </c>
      <c r="D67" t="inlineStr">
        <is>
          <t>SKÅNE LÄN</t>
        </is>
      </c>
      <c r="E67" t="inlineStr">
        <is>
          <t>SIMRISHAMN</t>
        </is>
      </c>
      <c r="F67" t="inlineStr">
        <is>
          <t>Övriga Aktiebolag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63464-2023</t>
        </is>
      </c>
      <c r="B68" s="1" t="n">
        <v>45273</v>
      </c>
      <c r="C68" s="1" t="n">
        <v>45657</v>
      </c>
      <c r="D68" t="inlineStr">
        <is>
          <t>SKÅNE LÄN</t>
        </is>
      </c>
      <c r="E68" t="inlineStr">
        <is>
          <t>SIMRISHAMN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63456-2023</t>
        </is>
      </c>
      <c r="B69" s="1" t="n">
        <v>45273</v>
      </c>
      <c r="C69" s="1" t="n">
        <v>45657</v>
      </c>
      <c r="D69" t="inlineStr">
        <is>
          <t>SKÅNE LÄN</t>
        </is>
      </c>
      <c r="E69" t="inlineStr">
        <is>
          <t>SIMRISHAMN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3367-2024</t>
        </is>
      </c>
      <c r="B70" s="1" t="n">
        <v>45317</v>
      </c>
      <c r="C70" s="1" t="n">
        <v>45657</v>
      </c>
      <c r="D70" t="inlineStr">
        <is>
          <t>SKÅNE LÄN</t>
        </is>
      </c>
      <c r="E70" t="inlineStr">
        <is>
          <t>SIMRISHAMN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3394-2024</t>
        </is>
      </c>
      <c r="B71" s="1" t="n">
        <v>45318</v>
      </c>
      <c r="C71" s="1" t="n">
        <v>45657</v>
      </c>
      <c r="D71" t="inlineStr">
        <is>
          <t>SKÅNE LÄN</t>
        </is>
      </c>
      <c r="E71" t="inlineStr">
        <is>
          <t>SIMRISHAMN</t>
        </is>
      </c>
      <c r="G71" t="n">
        <v>5.7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3398-2024</t>
        </is>
      </c>
      <c r="B72" s="1" t="n">
        <v>45318</v>
      </c>
      <c r="C72" s="1" t="n">
        <v>45657</v>
      </c>
      <c r="D72" t="inlineStr">
        <is>
          <t>SKÅNE LÄN</t>
        </is>
      </c>
      <c r="E72" t="inlineStr">
        <is>
          <t>SIMRISHAMN</t>
        </is>
      </c>
      <c r="G72" t="n">
        <v>3.4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3402-2024</t>
        </is>
      </c>
      <c r="B73" s="1" t="n">
        <v>45318</v>
      </c>
      <c r="C73" s="1" t="n">
        <v>45657</v>
      </c>
      <c r="D73" t="inlineStr">
        <is>
          <t>SKÅNE LÄN</t>
        </is>
      </c>
      <c r="E73" t="inlineStr">
        <is>
          <t>SIMRISHAMN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3406-2024</t>
        </is>
      </c>
      <c r="B74" s="1" t="n">
        <v>45318</v>
      </c>
      <c r="C74" s="1" t="n">
        <v>45657</v>
      </c>
      <c r="D74" t="inlineStr">
        <is>
          <t>SKÅNE LÄN</t>
        </is>
      </c>
      <c r="E74" t="inlineStr">
        <is>
          <t>SIMRISHAMN</t>
        </is>
      </c>
      <c r="G74" t="n">
        <v>10.5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3395-2024</t>
        </is>
      </c>
      <c r="B75" s="1" t="n">
        <v>45318</v>
      </c>
      <c r="C75" s="1" t="n">
        <v>45657</v>
      </c>
      <c r="D75" t="inlineStr">
        <is>
          <t>SKÅNE LÄN</t>
        </is>
      </c>
      <c r="E75" t="inlineStr">
        <is>
          <t>SIMRISHAMN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3392-2024</t>
        </is>
      </c>
      <c r="B76" s="1" t="n">
        <v>45318</v>
      </c>
      <c r="C76" s="1" t="n">
        <v>45657</v>
      </c>
      <c r="D76" t="inlineStr">
        <is>
          <t>SKÅNE LÄN</t>
        </is>
      </c>
      <c r="E76" t="inlineStr">
        <is>
          <t>SIMRISHAMN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3396-2024</t>
        </is>
      </c>
      <c r="B77" s="1" t="n">
        <v>45318</v>
      </c>
      <c r="C77" s="1" t="n">
        <v>45657</v>
      </c>
      <c r="D77" t="inlineStr">
        <is>
          <t>SKÅNE LÄN</t>
        </is>
      </c>
      <c r="E77" t="inlineStr">
        <is>
          <t>SIMRISHAMN</t>
        </is>
      </c>
      <c r="G77" t="n">
        <v>4.4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3400-2024</t>
        </is>
      </c>
      <c r="B78" s="1" t="n">
        <v>45318</v>
      </c>
      <c r="C78" s="1" t="n">
        <v>45657</v>
      </c>
      <c r="D78" t="inlineStr">
        <is>
          <t>SKÅNE LÄN</t>
        </is>
      </c>
      <c r="E78" t="inlineStr">
        <is>
          <t>SIMRISHAMN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3404-2024</t>
        </is>
      </c>
      <c r="B79" s="1" t="n">
        <v>45318</v>
      </c>
      <c r="C79" s="1" t="n">
        <v>45657</v>
      </c>
      <c r="D79" t="inlineStr">
        <is>
          <t>SKÅNE LÄN</t>
        </is>
      </c>
      <c r="E79" t="inlineStr">
        <is>
          <t>SIMRISHAMN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3393-2024</t>
        </is>
      </c>
      <c r="B80" s="1" t="n">
        <v>45318</v>
      </c>
      <c r="C80" s="1" t="n">
        <v>45657</v>
      </c>
      <c r="D80" t="inlineStr">
        <is>
          <t>SKÅNE LÄN</t>
        </is>
      </c>
      <c r="E80" t="inlineStr">
        <is>
          <t>SIMRISHAMN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3397-2024</t>
        </is>
      </c>
      <c r="B81" s="1" t="n">
        <v>45318</v>
      </c>
      <c r="C81" s="1" t="n">
        <v>45657</v>
      </c>
      <c r="D81" t="inlineStr">
        <is>
          <t>SKÅNE LÄN</t>
        </is>
      </c>
      <c r="E81" t="inlineStr">
        <is>
          <t>SIMRISHAMN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3405-2024</t>
        </is>
      </c>
      <c r="B82" s="1" t="n">
        <v>45318</v>
      </c>
      <c r="C82" s="1" t="n">
        <v>45657</v>
      </c>
      <c r="D82" t="inlineStr">
        <is>
          <t>SKÅNE LÄN</t>
        </is>
      </c>
      <c r="E82" t="inlineStr">
        <is>
          <t>SIMRISHAMN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3516-2024</t>
        </is>
      </c>
      <c r="B83" s="1" t="n">
        <v>45320</v>
      </c>
      <c r="C83" s="1" t="n">
        <v>45657</v>
      </c>
      <c r="D83" t="inlineStr">
        <is>
          <t>SKÅNE LÄN</t>
        </is>
      </c>
      <c r="E83" t="inlineStr">
        <is>
          <t>SIMRISHAMN</t>
        </is>
      </c>
      <c r="F83" t="inlineStr">
        <is>
          <t>Övriga Aktiebolag</t>
        </is>
      </c>
      <c r="G83" t="n">
        <v>10.7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3433-2024</t>
        </is>
      </c>
      <c r="B84" s="1" t="n">
        <v>45320</v>
      </c>
      <c r="C84" s="1" t="n">
        <v>45657</v>
      </c>
      <c r="D84" t="inlineStr">
        <is>
          <t>SKÅNE LÄN</t>
        </is>
      </c>
      <c r="E84" t="inlineStr">
        <is>
          <t>SIMRISHAMN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3603-2024</t>
        </is>
      </c>
      <c r="B85" s="1" t="n">
        <v>45320</v>
      </c>
      <c r="C85" s="1" t="n">
        <v>45657</v>
      </c>
      <c r="D85" t="inlineStr">
        <is>
          <t>SKÅNE LÄN</t>
        </is>
      </c>
      <c r="E85" t="inlineStr">
        <is>
          <t>SIMRISHAMN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3602-2024</t>
        </is>
      </c>
      <c r="B86" s="1" t="n">
        <v>45320</v>
      </c>
      <c r="C86" s="1" t="n">
        <v>45657</v>
      </c>
      <c r="D86" t="inlineStr">
        <is>
          <t>SKÅNE LÄN</t>
        </is>
      </c>
      <c r="E86" t="inlineStr">
        <is>
          <t>SIMRISHAMN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3604-2024</t>
        </is>
      </c>
      <c r="B87" s="1" t="n">
        <v>45320</v>
      </c>
      <c r="C87" s="1" t="n">
        <v>45657</v>
      </c>
      <c r="D87" t="inlineStr">
        <is>
          <t>SKÅNE LÄN</t>
        </is>
      </c>
      <c r="E87" t="inlineStr">
        <is>
          <t>SIMRISHAMN</t>
        </is>
      </c>
      <c r="G87" t="n">
        <v>4.1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4193-2024</t>
        </is>
      </c>
      <c r="B88" s="1" t="n">
        <v>45324</v>
      </c>
      <c r="C88" s="1" t="n">
        <v>45657</v>
      </c>
      <c r="D88" t="inlineStr">
        <is>
          <t>SKÅNE LÄN</t>
        </is>
      </c>
      <c r="E88" t="inlineStr">
        <is>
          <t>SIMRISHAMN</t>
        </is>
      </c>
      <c r="F88" t="inlineStr">
        <is>
          <t>Övriga Aktiebolag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4668-2024</t>
        </is>
      </c>
      <c r="B89" s="1" t="n">
        <v>45328</v>
      </c>
      <c r="C89" s="1" t="n">
        <v>45657</v>
      </c>
      <c r="D89" t="inlineStr">
        <is>
          <t>SKÅNE LÄN</t>
        </is>
      </c>
      <c r="E89" t="inlineStr">
        <is>
          <t>SIMRISHAMN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4673-2024</t>
        </is>
      </c>
      <c r="B90" s="1" t="n">
        <v>45328</v>
      </c>
      <c r="C90" s="1" t="n">
        <v>45657</v>
      </c>
      <c r="D90" t="inlineStr">
        <is>
          <t>SKÅNE LÄN</t>
        </is>
      </c>
      <c r="E90" t="inlineStr">
        <is>
          <t>SIMRISHAMN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4848-2024</t>
        </is>
      </c>
      <c r="B91" s="1" t="n">
        <v>45329</v>
      </c>
      <c r="C91" s="1" t="n">
        <v>45657</v>
      </c>
      <c r="D91" t="inlineStr">
        <is>
          <t>SKÅNE LÄN</t>
        </is>
      </c>
      <c r="E91" t="inlineStr">
        <is>
          <t>SIMRISHAMN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5020-2024</t>
        </is>
      </c>
      <c r="B92" s="1" t="n">
        <v>45329</v>
      </c>
      <c r="C92" s="1" t="n">
        <v>45657</v>
      </c>
      <c r="D92" t="inlineStr">
        <is>
          <t>SKÅNE LÄN</t>
        </is>
      </c>
      <c r="E92" t="inlineStr">
        <is>
          <t>SIMRISHAMN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5028-2024</t>
        </is>
      </c>
      <c r="B93" s="1" t="n">
        <v>45329</v>
      </c>
      <c r="C93" s="1" t="n">
        <v>45657</v>
      </c>
      <c r="D93" t="inlineStr">
        <is>
          <t>SKÅNE LÄN</t>
        </is>
      </c>
      <c r="E93" t="inlineStr">
        <is>
          <t>SIMRISHAMN</t>
        </is>
      </c>
      <c r="F93" t="inlineStr">
        <is>
          <t>Övriga Aktiebolag</t>
        </is>
      </c>
      <c r="G93" t="n">
        <v>4.5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5021-2024</t>
        </is>
      </c>
      <c r="B94" s="1" t="n">
        <v>45329</v>
      </c>
      <c r="C94" s="1" t="n">
        <v>45657</v>
      </c>
      <c r="D94" t="inlineStr">
        <is>
          <t>SKÅNE LÄN</t>
        </is>
      </c>
      <c r="E94" t="inlineStr">
        <is>
          <t>SIMRISHAMN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5224-2024</t>
        </is>
      </c>
      <c r="B95" s="1" t="n">
        <v>45330</v>
      </c>
      <c r="C95" s="1" t="n">
        <v>45657</v>
      </c>
      <c r="D95" t="inlineStr">
        <is>
          <t>SKÅNE LÄN</t>
        </is>
      </c>
      <c r="E95" t="inlineStr">
        <is>
          <t>SIMRISHAMN</t>
        </is>
      </c>
      <c r="F95" t="inlineStr">
        <is>
          <t>Övriga Aktiebolag</t>
        </is>
      </c>
      <c r="G95" t="n">
        <v>18.4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5488-2024</t>
        </is>
      </c>
      <c r="B96" s="1" t="n">
        <v>45334</v>
      </c>
      <c r="C96" s="1" t="n">
        <v>45657</v>
      </c>
      <c r="D96" t="inlineStr">
        <is>
          <t>SKÅNE LÄN</t>
        </is>
      </c>
      <c r="E96" t="inlineStr">
        <is>
          <t>SIMRISHAMN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6006-2024</t>
        </is>
      </c>
      <c r="B97" s="1" t="n">
        <v>45336</v>
      </c>
      <c r="C97" s="1" t="n">
        <v>45657</v>
      </c>
      <c r="D97" t="inlineStr">
        <is>
          <t>SKÅNE LÄN</t>
        </is>
      </c>
      <c r="E97" t="inlineStr">
        <is>
          <t>SIMRISHAMN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6045-2024</t>
        </is>
      </c>
      <c r="B98" s="1" t="n">
        <v>45336</v>
      </c>
      <c r="C98" s="1" t="n">
        <v>45657</v>
      </c>
      <c r="D98" t="inlineStr">
        <is>
          <t>SKÅNE LÄN</t>
        </is>
      </c>
      <c r="E98" t="inlineStr">
        <is>
          <t>SIMRISHAMN</t>
        </is>
      </c>
      <c r="F98" t="inlineStr">
        <is>
          <t>Övriga Aktiebolag</t>
        </is>
      </c>
      <c r="G98" t="n">
        <v>15.4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7072-2024</t>
        </is>
      </c>
      <c r="B99" s="1" t="n">
        <v>45343</v>
      </c>
      <c r="C99" s="1" t="n">
        <v>45657</v>
      </c>
      <c r="D99" t="inlineStr">
        <is>
          <t>SKÅNE LÄN</t>
        </is>
      </c>
      <c r="E99" t="inlineStr">
        <is>
          <t>SIMRISHAMN</t>
        </is>
      </c>
      <c r="G99" t="n">
        <v>5.1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7082-2024</t>
        </is>
      </c>
      <c r="B100" s="1" t="n">
        <v>45343</v>
      </c>
      <c r="C100" s="1" t="n">
        <v>45657</v>
      </c>
      <c r="D100" t="inlineStr">
        <is>
          <t>SKÅNE LÄN</t>
        </is>
      </c>
      <c r="E100" t="inlineStr">
        <is>
          <t>SIMRISHAMN</t>
        </is>
      </c>
      <c r="F100" t="inlineStr">
        <is>
          <t>Övriga Aktiebolag</t>
        </is>
      </c>
      <c r="G100" t="n">
        <v>22.7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7083-2024</t>
        </is>
      </c>
      <c r="B101" s="1" t="n">
        <v>45343</v>
      </c>
      <c r="C101" s="1" t="n">
        <v>45657</v>
      </c>
      <c r="D101" t="inlineStr">
        <is>
          <t>SKÅNE LÄN</t>
        </is>
      </c>
      <c r="E101" t="inlineStr">
        <is>
          <t>SIMRISHAMN</t>
        </is>
      </c>
      <c r="F101" t="inlineStr">
        <is>
          <t>Övriga Aktiebolag</t>
        </is>
      </c>
      <c r="G101" t="n">
        <v>10.6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7570-2024</t>
        </is>
      </c>
      <c r="B102" s="1" t="n">
        <v>45348</v>
      </c>
      <c r="C102" s="1" t="n">
        <v>45657</v>
      </c>
      <c r="D102" t="inlineStr">
        <is>
          <t>SKÅNE LÄN</t>
        </is>
      </c>
      <c r="E102" t="inlineStr">
        <is>
          <t>SIMRISHAMN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7584-2024</t>
        </is>
      </c>
      <c r="B103" s="1" t="n">
        <v>45348</v>
      </c>
      <c r="C103" s="1" t="n">
        <v>45657</v>
      </c>
      <c r="D103" t="inlineStr">
        <is>
          <t>SKÅNE LÄN</t>
        </is>
      </c>
      <c r="E103" t="inlineStr">
        <is>
          <t>SIMRISHAMN</t>
        </is>
      </c>
      <c r="G103" t="n">
        <v>6.9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7716-2024</t>
        </is>
      </c>
      <c r="B104" s="1" t="n">
        <v>45349</v>
      </c>
      <c r="C104" s="1" t="n">
        <v>45657</v>
      </c>
      <c r="D104" t="inlineStr">
        <is>
          <t>SKÅNE LÄN</t>
        </is>
      </c>
      <c r="E104" t="inlineStr">
        <is>
          <t>SIMRISHAMN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8048-2024</t>
        </is>
      </c>
      <c r="B105" s="1" t="n">
        <v>45351</v>
      </c>
      <c r="C105" s="1" t="n">
        <v>45657</v>
      </c>
      <c r="D105" t="inlineStr">
        <is>
          <t>SKÅNE LÄN</t>
        </is>
      </c>
      <c r="E105" t="inlineStr">
        <is>
          <t>SIMRISHAMN</t>
        </is>
      </c>
      <c r="F105" t="inlineStr">
        <is>
          <t>Övriga Aktiebolag</t>
        </is>
      </c>
      <c r="G105" t="n">
        <v>6.7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8534-2024</t>
        </is>
      </c>
      <c r="B106" s="1" t="n">
        <v>45355</v>
      </c>
      <c r="C106" s="1" t="n">
        <v>45657</v>
      </c>
      <c r="D106" t="inlineStr">
        <is>
          <t>SKÅNE LÄN</t>
        </is>
      </c>
      <c r="E106" t="inlineStr">
        <is>
          <t>SIMRISHAMN</t>
        </is>
      </c>
      <c r="F106" t="inlineStr">
        <is>
          <t>Övriga Aktiebolag</t>
        </is>
      </c>
      <c r="G106" t="n">
        <v>12.2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9278-2024</t>
        </is>
      </c>
      <c r="B107" s="1" t="n">
        <v>45358</v>
      </c>
      <c r="C107" s="1" t="n">
        <v>45657</v>
      </c>
      <c r="D107" t="inlineStr">
        <is>
          <t>SKÅNE LÄN</t>
        </is>
      </c>
      <c r="E107" t="inlineStr">
        <is>
          <t>SIMRISHAMN</t>
        </is>
      </c>
      <c r="F107" t="inlineStr">
        <is>
          <t>Övriga Aktiebolag</t>
        </is>
      </c>
      <c r="G107" t="n">
        <v>5.3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9284-2024</t>
        </is>
      </c>
      <c r="B108" s="1" t="n">
        <v>45358</v>
      </c>
      <c r="C108" s="1" t="n">
        <v>45657</v>
      </c>
      <c r="D108" t="inlineStr">
        <is>
          <t>SKÅNE LÄN</t>
        </is>
      </c>
      <c r="E108" t="inlineStr">
        <is>
          <t>SIMRISHAMN</t>
        </is>
      </c>
      <c r="F108" t="inlineStr">
        <is>
          <t>Övriga Aktiebolag</t>
        </is>
      </c>
      <c r="G108" t="n">
        <v>6.2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9288-2024</t>
        </is>
      </c>
      <c r="B109" s="1" t="n">
        <v>45358</v>
      </c>
      <c r="C109" s="1" t="n">
        <v>45657</v>
      </c>
      <c r="D109" t="inlineStr">
        <is>
          <t>SKÅNE LÄN</t>
        </is>
      </c>
      <c r="E109" t="inlineStr">
        <is>
          <t>SIMRISHAMN</t>
        </is>
      </c>
      <c r="F109" t="inlineStr">
        <is>
          <t>Övriga Aktiebolag</t>
        </is>
      </c>
      <c r="G109" t="n">
        <v>4.1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11152-2024</t>
        </is>
      </c>
      <c r="B110" s="1" t="n">
        <v>45371</v>
      </c>
      <c r="C110" s="1" t="n">
        <v>45657</v>
      </c>
      <c r="D110" t="inlineStr">
        <is>
          <t>SKÅNE LÄN</t>
        </is>
      </c>
      <c r="E110" t="inlineStr">
        <is>
          <t>SIMRISHAMN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14103-2024</t>
        </is>
      </c>
      <c r="B111" s="1" t="n">
        <v>45392</v>
      </c>
      <c r="C111" s="1" t="n">
        <v>45657</v>
      </c>
      <c r="D111" t="inlineStr">
        <is>
          <t>SKÅNE LÄN</t>
        </is>
      </c>
      <c r="E111" t="inlineStr">
        <is>
          <t>SIMRISHAMN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14106-2024</t>
        </is>
      </c>
      <c r="B112" s="1" t="n">
        <v>45392</v>
      </c>
      <c r="C112" s="1" t="n">
        <v>45657</v>
      </c>
      <c r="D112" t="inlineStr">
        <is>
          <t>SKÅNE LÄN</t>
        </is>
      </c>
      <c r="E112" t="inlineStr">
        <is>
          <t>SIMRISHAMN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14104-2024</t>
        </is>
      </c>
      <c r="B113" s="1" t="n">
        <v>45392</v>
      </c>
      <c r="C113" s="1" t="n">
        <v>45657</v>
      </c>
      <c r="D113" t="inlineStr">
        <is>
          <t>SKÅNE LÄN</t>
        </is>
      </c>
      <c r="E113" t="inlineStr">
        <is>
          <t>SIMRISHAMN</t>
        </is>
      </c>
      <c r="G113" t="n">
        <v>5.3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14702-2024</t>
        </is>
      </c>
      <c r="B114" s="1" t="n">
        <v>45397</v>
      </c>
      <c r="C114" s="1" t="n">
        <v>45657</v>
      </c>
      <c r="D114" t="inlineStr">
        <is>
          <t>SKÅNE LÄN</t>
        </is>
      </c>
      <c r="E114" t="inlineStr">
        <is>
          <t>SIMRISHAMN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15039-2024</t>
        </is>
      </c>
      <c r="B115" s="1" t="n">
        <v>45399</v>
      </c>
      <c r="C115" s="1" t="n">
        <v>45657</v>
      </c>
      <c r="D115" t="inlineStr">
        <is>
          <t>SKÅNE LÄN</t>
        </is>
      </c>
      <c r="E115" t="inlineStr">
        <is>
          <t>SIMRISHAMN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16258-2024</t>
        </is>
      </c>
      <c r="B116" s="1" t="n">
        <v>45407</v>
      </c>
      <c r="C116" s="1" t="n">
        <v>45657</v>
      </c>
      <c r="D116" t="inlineStr">
        <is>
          <t>SKÅNE LÄN</t>
        </is>
      </c>
      <c r="E116" t="inlineStr">
        <is>
          <t>SIMRISHAMN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16287-2024</t>
        </is>
      </c>
      <c r="B117" s="1" t="n">
        <v>45407</v>
      </c>
      <c r="C117" s="1" t="n">
        <v>45657</v>
      </c>
      <c r="D117" t="inlineStr">
        <is>
          <t>SKÅNE LÄN</t>
        </is>
      </c>
      <c r="E117" t="inlineStr">
        <is>
          <t>SIMRISHAMN</t>
        </is>
      </c>
      <c r="F117" t="inlineStr">
        <is>
          <t>Övriga Aktiebolag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16837-2024</t>
        </is>
      </c>
      <c r="B118" s="1" t="n">
        <v>45411</v>
      </c>
      <c r="C118" s="1" t="n">
        <v>45657</v>
      </c>
      <c r="D118" t="inlineStr">
        <is>
          <t>SKÅNE LÄN</t>
        </is>
      </c>
      <c r="E118" t="inlineStr">
        <is>
          <t>SIMRISHAMN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17027-2024</t>
        </is>
      </c>
      <c r="B119" s="1" t="n">
        <v>45412</v>
      </c>
      <c r="C119" s="1" t="n">
        <v>45657</v>
      </c>
      <c r="D119" t="inlineStr">
        <is>
          <t>SKÅNE LÄN</t>
        </is>
      </c>
      <c r="E119" t="inlineStr">
        <is>
          <t>SIMRISHAMN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18786-2024</t>
        </is>
      </c>
      <c r="B120" s="1" t="n">
        <v>45426</v>
      </c>
      <c r="C120" s="1" t="n">
        <v>45657</v>
      </c>
      <c r="D120" t="inlineStr">
        <is>
          <t>SKÅNE LÄN</t>
        </is>
      </c>
      <c r="E120" t="inlineStr">
        <is>
          <t>SIMRISHAMN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18857-2024</t>
        </is>
      </c>
      <c r="B121" s="1" t="n">
        <v>45426</v>
      </c>
      <c r="C121" s="1" t="n">
        <v>45657</v>
      </c>
      <c r="D121" t="inlineStr">
        <is>
          <t>SKÅNE LÄN</t>
        </is>
      </c>
      <c r="E121" t="inlineStr">
        <is>
          <t>SIMRISHAMN</t>
        </is>
      </c>
      <c r="F121" t="inlineStr">
        <is>
          <t>Övriga Aktiebolag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18856-2024</t>
        </is>
      </c>
      <c r="B122" s="1" t="n">
        <v>45426</v>
      </c>
      <c r="C122" s="1" t="n">
        <v>45657</v>
      </c>
      <c r="D122" t="inlineStr">
        <is>
          <t>SKÅNE LÄN</t>
        </is>
      </c>
      <c r="E122" t="inlineStr">
        <is>
          <t>SIMRISHAMN</t>
        </is>
      </c>
      <c r="F122" t="inlineStr">
        <is>
          <t>Övriga Aktiebolag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19435-2024</t>
        </is>
      </c>
      <c r="B123" s="1" t="n">
        <v>45429</v>
      </c>
      <c r="C123" s="1" t="n">
        <v>45657</v>
      </c>
      <c r="D123" t="inlineStr">
        <is>
          <t>SKÅNE LÄN</t>
        </is>
      </c>
      <c r="E123" t="inlineStr">
        <is>
          <t>SIMRISHAMN</t>
        </is>
      </c>
      <c r="G123" t="n">
        <v>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19439-2024</t>
        </is>
      </c>
      <c r="B124" s="1" t="n">
        <v>45429</v>
      </c>
      <c r="C124" s="1" t="n">
        <v>45657</v>
      </c>
      <c r="D124" t="inlineStr">
        <is>
          <t>SKÅNE LÄN</t>
        </is>
      </c>
      <c r="E124" t="inlineStr">
        <is>
          <t>SIMRISHAMN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19874-2024</t>
        </is>
      </c>
      <c r="B125" s="1" t="n">
        <v>45433</v>
      </c>
      <c r="C125" s="1" t="n">
        <v>45657</v>
      </c>
      <c r="D125" t="inlineStr">
        <is>
          <t>SKÅNE LÄN</t>
        </is>
      </c>
      <c r="E125" t="inlineStr">
        <is>
          <t>SIMRISHAMN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20096-2024</t>
        </is>
      </c>
      <c r="B126" s="1" t="n">
        <v>45434</v>
      </c>
      <c r="C126" s="1" t="n">
        <v>45657</v>
      </c>
      <c r="D126" t="inlineStr">
        <is>
          <t>SKÅNE LÄN</t>
        </is>
      </c>
      <c r="E126" t="inlineStr">
        <is>
          <t>SIMRISHAMN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20390-2024</t>
        </is>
      </c>
      <c r="B127" s="1" t="n">
        <v>45435</v>
      </c>
      <c r="C127" s="1" t="n">
        <v>45657</v>
      </c>
      <c r="D127" t="inlineStr">
        <is>
          <t>SKÅNE LÄN</t>
        </is>
      </c>
      <c r="E127" t="inlineStr">
        <is>
          <t>SIMRISHAMN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27426-2024</t>
        </is>
      </c>
      <c r="B128" s="1" t="n">
        <v>45474</v>
      </c>
      <c r="C128" s="1" t="n">
        <v>45657</v>
      </c>
      <c r="D128" t="inlineStr">
        <is>
          <t>SKÅNE LÄN</t>
        </is>
      </c>
      <c r="E128" t="inlineStr">
        <is>
          <t>SIMRISHAMN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27464-2024</t>
        </is>
      </c>
      <c r="B129" s="1" t="n">
        <v>45474</v>
      </c>
      <c r="C129" s="1" t="n">
        <v>45657</v>
      </c>
      <c r="D129" t="inlineStr">
        <is>
          <t>SKÅNE LÄN</t>
        </is>
      </c>
      <c r="E129" t="inlineStr">
        <is>
          <t>SIMRISHAMN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27459-2024</t>
        </is>
      </c>
      <c r="B130" s="1" t="n">
        <v>45474</v>
      </c>
      <c r="C130" s="1" t="n">
        <v>45657</v>
      </c>
      <c r="D130" t="inlineStr">
        <is>
          <t>SKÅNE LÄN</t>
        </is>
      </c>
      <c r="E130" t="inlineStr">
        <is>
          <t>SIMRISHAMN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30911-2024</t>
        </is>
      </c>
      <c r="B131" s="1" t="n">
        <v>45498</v>
      </c>
      <c r="C131" s="1" t="n">
        <v>45657</v>
      </c>
      <c r="D131" t="inlineStr">
        <is>
          <t>SKÅNE LÄN</t>
        </is>
      </c>
      <c r="E131" t="inlineStr">
        <is>
          <t>SIMRISHAMN</t>
        </is>
      </c>
      <c r="F131" t="inlineStr">
        <is>
          <t>Övriga Aktiebolag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31093-2024</t>
        </is>
      </c>
      <c r="B132" s="1" t="n">
        <v>45502</v>
      </c>
      <c r="C132" s="1" t="n">
        <v>45657</v>
      </c>
      <c r="D132" t="inlineStr">
        <is>
          <t>SKÅNE LÄN</t>
        </is>
      </c>
      <c r="E132" t="inlineStr">
        <is>
          <t>SIMRISHAMN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31339-2024</t>
        </is>
      </c>
      <c r="B133" s="1" t="n">
        <v>45504</v>
      </c>
      <c r="C133" s="1" t="n">
        <v>45657</v>
      </c>
      <c r="D133" t="inlineStr">
        <is>
          <t>SKÅNE LÄN</t>
        </is>
      </c>
      <c r="E133" t="inlineStr">
        <is>
          <t>SIMRISHAMN</t>
        </is>
      </c>
      <c r="G133" t="n">
        <v>3.6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34064-2024</t>
        </is>
      </c>
      <c r="B134" s="1" t="n">
        <v>45523</v>
      </c>
      <c r="C134" s="1" t="n">
        <v>45657</v>
      </c>
      <c r="D134" t="inlineStr">
        <is>
          <t>SKÅNE LÄN</t>
        </is>
      </c>
      <c r="E134" t="inlineStr">
        <is>
          <t>SIMRISHAMN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35692-2024</t>
        </is>
      </c>
      <c r="B135" s="1" t="n">
        <v>45532</v>
      </c>
      <c r="C135" s="1" t="n">
        <v>45657</v>
      </c>
      <c r="D135" t="inlineStr">
        <is>
          <t>SKÅNE LÄN</t>
        </is>
      </c>
      <c r="E135" t="inlineStr">
        <is>
          <t>SIMRISHAMN</t>
        </is>
      </c>
      <c r="G135" t="n">
        <v>0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38846-2024</t>
        </is>
      </c>
      <c r="B136" s="1" t="n">
        <v>45547</v>
      </c>
      <c r="C136" s="1" t="n">
        <v>45657</v>
      </c>
      <c r="D136" t="inlineStr">
        <is>
          <t>SKÅNE LÄN</t>
        </is>
      </c>
      <c r="E136" t="inlineStr">
        <is>
          <t>SIMRISHAMN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40584-2024</t>
        </is>
      </c>
      <c r="B137" s="1" t="n">
        <v>45555</v>
      </c>
      <c r="C137" s="1" t="n">
        <v>45657</v>
      </c>
      <c r="D137" t="inlineStr">
        <is>
          <t>SKÅNE LÄN</t>
        </is>
      </c>
      <c r="E137" t="inlineStr">
        <is>
          <t>SIMRISHAMN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43724-2024</t>
        </is>
      </c>
      <c r="B138" s="1" t="n">
        <v>45569</v>
      </c>
      <c r="C138" s="1" t="n">
        <v>45657</v>
      </c>
      <c r="D138" t="inlineStr">
        <is>
          <t>SKÅNE LÄN</t>
        </is>
      </c>
      <c r="E138" t="inlineStr">
        <is>
          <t>SIMRISHAMN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43851-2024</t>
        </is>
      </c>
      <c r="B139" s="1" t="n">
        <v>45572</v>
      </c>
      <c r="C139" s="1" t="n">
        <v>45657</v>
      </c>
      <c r="D139" t="inlineStr">
        <is>
          <t>SKÅNE LÄN</t>
        </is>
      </c>
      <c r="E139" t="inlineStr">
        <is>
          <t>SIMRISHAMN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50134-2024</t>
        </is>
      </c>
      <c r="B140" s="1" t="n">
        <v>45600</v>
      </c>
      <c r="C140" s="1" t="n">
        <v>45657</v>
      </c>
      <c r="D140" t="inlineStr">
        <is>
          <t>SKÅNE LÄN</t>
        </is>
      </c>
      <c r="E140" t="inlineStr">
        <is>
          <t>SIMRISHAMN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50138-2024</t>
        </is>
      </c>
      <c r="B141" s="1" t="n">
        <v>45600</v>
      </c>
      <c r="C141" s="1" t="n">
        <v>45657</v>
      </c>
      <c r="D141" t="inlineStr">
        <is>
          <t>SKÅNE LÄN</t>
        </is>
      </c>
      <c r="E141" t="inlineStr">
        <is>
          <t>SIMRISHAMN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56764-2024</t>
        </is>
      </c>
      <c r="B142" s="1" t="n">
        <v>45628</v>
      </c>
      <c r="C142" s="1" t="n">
        <v>45657</v>
      </c>
      <c r="D142" t="inlineStr">
        <is>
          <t>SKÅNE LÄN</t>
        </is>
      </c>
      <c r="E142" t="inlineStr">
        <is>
          <t>SIMRISHAMN</t>
        </is>
      </c>
      <c r="G142" t="n">
        <v>7.5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56820-2024</t>
        </is>
      </c>
      <c r="B143" s="1" t="n">
        <v>45628</v>
      </c>
      <c r="C143" s="1" t="n">
        <v>45657</v>
      </c>
      <c r="D143" t="inlineStr">
        <is>
          <t>SKÅNE LÄN</t>
        </is>
      </c>
      <c r="E143" t="inlineStr">
        <is>
          <t>SIMRISHAMN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59717-2024</t>
        </is>
      </c>
      <c r="B144" s="1" t="n">
        <v>45639</v>
      </c>
      <c r="C144" s="1" t="n">
        <v>45657</v>
      </c>
      <c r="D144" t="inlineStr">
        <is>
          <t>SKÅNE LÄN</t>
        </is>
      </c>
      <c r="E144" t="inlineStr">
        <is>
          <t>SIMRISHAMN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>
      <c r="A145" t="inlineStr">
        <is>
          <t>A 61876-2024</t>
        </is>
      </c>
      <c r="B145" s="1" t="n">
        <v>45652</v>
      </c>
      <c r="C145" s="1" t="n">
        <v>45657</v>
      </c>
      <c r="D145" t="inlineStr">
        <is>
          <t>SKÅNE LÄN</t>
        </is>
      </c>
      <c r="E145" t="inlineStr">
        <is>
          <t>SIMRISHAMN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2024-12-31T15:47:55Z</dcterms:created>
  <dcterms:modified xmlns:dcterms="http://purl.org/dc/terms/" xmlns:xsi="http://www.w3.org/2001/XMLSchema-instance" xsi:type="dcterms:W3CDTF">2024-12-31T15:48:02Z</dcterms:modified>
</cp:coreProperties>
</file>